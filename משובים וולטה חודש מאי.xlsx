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naymer\Desktop\עבודה\"/>
    </mc:Choice>
  </mc:AlternateContent>
  <xr:revisionPtr revIDLastSave="0" documentId="8_{6ED1A326-CA36-424E-A63B-62E73E77E411}" xr6:coauthVersionLast="47" xr6:coauthVersionMax="47" xr10:uidLastSave="{00000000-0000-0000-0000-000000000000}"/>
  <bookViews>
    <workbookView xWindow="38280" yWindow="-120" windowWidth="29040" windowHeight="15840" firstSheet="4" activeTab="6" xr2:uid="{00000000-000D-0000-FFFF-FFFF00000000}"/>
  </bookViews>
  <sheets>
    <sheet name="שלי" sheetId="38" state="hidden" r:id="rId1"/>
    <sheet name="מאי" sheetId="37" state="hidden" r:id="rId2"/>
    <sheet name="שירן" sheetId="36" state="hidden" r:id="rId3"/>
    <sheet name="חנה" sheetId="35" state="hidden" r:id="rId4"/>
    <sheet name="טום " sheetId="61" r:id="rId5"/>
    <sheet name="אלינור" sheetId="62" r:id="rId6"/>
    <sheet name="דיוד" sheetId="63" r:id="rId7"/>
    <sheet name="מעיין" sheetId="64" r:id="rId8"/>
    <sheet name="." sheetId="65" r:id="rId9"/>
    <sheet name="דינה " sheetId="21" state="hidden" r:id="rId10"/>
    <sheet name="עדן" sheetId="19" state="hidden" r:id="rId11"/>
    <sheet name="חלי " sheetId="20" state="hidden" r:id="rId12"/>
    <sheet name="סילבי" sheetId="17" state="hidden" r:id="rId13"/>
    <sheet name="מדדים " sheetId="27" state="hidden" r:id="rId14"/>
  </sheets>
  <calcPr calcId="191029"/>
</workbook>
</file>

<file path=xl/calcChain.xml><?xml version="1.0" encoding="utf-8"?>
<calcChain xmlns="http://schemas.openxmlformats.org/spreadsheetml/2006/main">
  <c r="C16" i="62" l="1"/>
  <c r="D16" i="63"/>
  <c r="E16" i="63"/>
  <c r="C16" i="63"/>
  <c r="D16" i="61"/>
  <c r="E16" i="61"/>
  <c r="C16" i="61"/>
  <c r="D16" i="62"/>
  <c r="E16" i="62"/>
  <c r="C3" i="62" s="1"/>
  <c r="E16" i="65"/>
  <c r="D16" i="65"/>
  <c r="C16" i="65"/>
  <c r="E16" i="64"/>
  <c r="D16" i="64"/>
  <c r="C16" i="64"/>
  <c r="C3" i="61" l="1"/>
  <c r="C3" i="63"/>
  <c r="Q31" i="38"/>
  <c r="E9" i="38"/>
  <c r="Q30" i="38"/>
  <c r="P30" i="38"/>
  <c r="O30" i="38"/>
  <c r="I30" i="38"/>
  <c r="L30" i="38" s="1"/>
  <c r="I29" i="38"/>
  <c r="P28" i="38"/>
  <c r="N28" i="38"/>
  <c r="L28" i="38"/>
  <c r="I28" i="38"/>
  <c r="Q28" i="38"/>
  <c r="P27" i="38"/>
  <c r="O27" i="38"/>
  <c r="N27" i="38"/>
  <c r="L27" i="38"/>
  <c r="I27" i="38"/>
  <c r="Q27" i="38" s="1"/>
  <c r="P26" i="38"/>
  <c r="N26" i="38"/>
  <c r="L26" i="38"/>
  <c r="I26" i="38"/>
  <c r="O26" i="38"/>
  <c r="Q25" i="38"/>
  <c r="P25" i="38"/>
  <c r="O25" i="38"/>
  <c r="N25" i="38"/>
  <c r="M25" i="38"/>
  <c r="L25" i="38"/>
  <c r="I25" i="38"/>
  <c r="I24" i="38"/>
  <c r="L24" i="38" s="1"/>
  <c r="P23" i="38"/>
  <c r="N23" i="38"/>
  <c r="L23" i="38"/>
  <c r="I23" i="38"/>
  <c r="O23" i="38"/>
  <c r="P22" i="38"/>
  <c r="O22" i="38"/>
  <c r="N22" i="38"/>
  <c r="L22" i="38"/>
  <c r="I22" i="38"/>
  <c r="M22" i="38" s="1"/>
  <c r="Q21" i="38"/>
  <c r="P21" i="38"/>
  <c r="O21" i="38"/>
  <c r="N21" i="38"/>
  <c r="M21" i="38"/>
  <c r="L21" i="38"/>
  <c r="I21" i="38"/>
  <c r="P20" i="38"/>
  <c r="N20" i="38"/>
  <c r="L20" i="38"/>
  <c r="I20" i="38"/>
  <c r="Q20" i="38" s="1"/>
  <c r="I19" i="38"/>
  <c r="L19" i="38" s="1"/>
  <c r="P18" i="38"/>
  <c r="N18" i="38"/>
  <c r="L18" i="38"/>
  <c r="I18" i="38"/>
  <c r="Q18" i="38" s="1"/>
  <c r="P17" i="38"/>
  <c r="N17" i="38"/>
  <c r="L17" i="38"/>
  <c r="I17" i="38"/>
  <c r="O17" i="38"/>
  <c r="P16" i="38"/>
  <c r="N16" i="38"/>
  <c r="L16" i="38"/>
  <c r="I16" i="38"/>
  <c r="M16" i="38" s="1"/>
  <c r="P15" i="38"/>
  <c r="N15" i="38"/>
  <c r="L15" i="38"/>
  <c r="I15" i="38"/>
  <c r="Q15" i="38" s="1"/>
  <c r="Q14" i="38"/>
  <c r="O14" i="38"/>
  <c r="M14" i="38"/>
  <c r="I14" i="38"/>
  <c r="L14" i="38"/>
  <c r="P13" i="38"/>
  <c r="N13" i="38"/>
  <c r="L13" i="38"/>
  <c r="I13" i="38"/>
  <c r="O13" i="38" s="1"/>
  <c r="M13" i="38"/>
  <c r="P12" i="38"/>
  <c r="N12" i="38"/>
  <c r="L12" i="38"/>
  <c r="I12" i="38"/>
  <c r="O12" i="38"/>
  <c r="P11" i="38"/>
  <c r="N11" i="38"/>
  <c r="L11" i="38"/>
  <c r="I11" i="38"/>
  <c r="Q11" i="38" s="1"/>
  <c r="F8" i="38"/>
  <c r="H4" i="38"/>
  <c r="H3" i="38"/>
  <c r="Q31" i="37"/>
  <c r="E9" i="37" s="1"/>
  <c r="Q30" i="37"/>
  <c r="P30" i="37"/>
  <c r="O30" i="37"/>
  <c r="I30" i="37"/>
  <c r="L30" i="37" s="1"/>
  <c r="I29" i="37"/>
  <c r="P28" i="37"/>
  <c r="N28" i="37"/>
  <c r="L28" i="37"/>
  <c r="I28" i="37"/>
  <c r="O28" i="37"/>
  <c r="P27" i="37"/>
  <c r="N27" i="37"/>
  <c r="L27" i="37"/>
  <c r="I27" i="37"/>
  <c r="M27" i="37" s="1"/>
  <c r="P26" i="37"/>
  <c r="N26" i="37"/>
  <c r="L26" i="37"/>
  <c r="I26" i="37"/>
  <c r="O26" i="37"/>
  <c r="Q25" i="37"/>
  <c r="O25" i="37"/>
  <c r="M25" i="37"/>
  <c r="I25" i="37"/>
  <c r="N25" i="37"/>
  <c r="I24" i="37"/>
  <c r="L24" i="37" s="1"/>
  <c r="P23" i="37"/>
  <c r="N23" i="37"/>
  <c r="L23" i="37"/>
  <c r="I23" i="37"/>
  <c r="O23" i="37" s="1"/>
  <c r="P22" i="37"/>
  <c r="N22" i="37"/>
  <c r="L22" i="37"/>
  <c r="I22" i="37"/>
  <c r="Q22" i="37"/>
  <c r="P21" i="37"/>
  <c r="N21" i="37"/>
  <c r="L21" i="37"/>
  <c r="I21" i="37"/>
  <c r="Q21" i="37"/>
  <c r="Q20" i="37"/>
  <c r="P20" i="37"/>
  <c r="N20" i="37"/>
  <c r="M20" i="37"/>
  <c r="L20" i="37"/>
  <c r="I20" i="37"/>
  <c r="O20" i="37" s="1"/>
  <c r="I19" i="37"/>
  <c r="L19" i="37"/>
  <c r="P18" i="37"/>
  <c r="N18" i="37"/>
  <c r="L18" i="37"/>
  <c r="I18" i="37"/>
  <c r="Q18" i="37" s="1"/>
  <c r="P17" i="37"/>
  <c r="N17" i="37"/>
  <c r="L17" i="37"/>
  <c r="I17" i="37"/>
  <c r="O17" i="37" s="1"/>
  <c r="P16" i="37"/>
  <c r="N16" i="37"/>
  <c r="L16" i="37"/>
  <c r="I16" i="37"/>
  <c r="Q16" i="37"/>
  <c r="O16" i="37"/>
  <c r="P15" i="37"/>
  <c r="N15" i="37"/>
  <c r="L15" i="37"/>
  <c r="I15" i="37"/>
  <c r="Q15" i="37" s="1"/>
  <c r="Q14" i="37"/>
  <c r="O14" i="37"/>
  <c r="M14" i="37"/>
  <c r="I14" i="37"/>
  <c r="N14" i="37" s="1"/>
  <c r="L14" i="37"/>
  <c r="P13" i="37"/>
  <c r="N13" i="37"/>
  <c r="L13" i="37"/>
  <c r="I13" i="37"/>
  <c r="Q13" i="37" s="1"/>
  <c r="P12" i="37"/>
  <c r="N12" i="37"/>
  <c r="L12" i="37"/>
  <c r="I12" i="37"/>
  <c r="M12" i="37" s="1"/>
  <c r="P11" i="37"/>
  <c r="N11" i="37"/>
  <c r="L11" i="37"/>
  <c r="I11" i="37"/>
  <c r="Q11" i="37" s="1"/>
  <c r="O11" i="37"/>
  <c r="F8" i="37"/>
  <c r="H4" i="37"/>
  <c r="H3" i="37"/>
  <c r="Q31" i="36"/>
  <c r="E9" i="36"/>
  <c r="O30" i="36"/>
  <c r="I30" i="36"/>
  <c r="L30" i="36" s="1"/>
  <c r="I29" i="36"/>
  <c r="P28" i="36"/>
  <c r="N28" i="36"/>
  <c r="L28" i="36"/>
  <c r="I28" i="36"/>
  <c r="Q28" i="36" s="1"/>
  <c r="O28" i="36"/>
  <c r="P27" i="36"/>
  <c r="N27" i="36"/>
  <c r="L27" i="36"/>
  <c r="I27" i="36"/>
  <c r="Q27" i="36" s="1"/>
  <c r="P26" i="36"/>
  <c r="N26" i="36"/>
  <c r="L26" i="36"/>
  <c r="I26" i="36"/>
  <c r="M26" i="36" s="1"/>
  <c r="P25" i="36"/>
  <c r="N25" i="36"/>
  <c r="L25" i="36"/>
  <c r="I25" i="36"/>
  <c r="O25" i="36" s="1"/>
  <c r="Q25" i="36"/>
  <c r="I24" i="36"/>
  <c r="L24" i="36"/>
  <c r="P23" i="36"/>
  <c r="N23" i="36"/>
  <c r="L23" i="36"/>
  <c r="I23" i="36"/>
  <c r="O23" i="36" s="1"/>
  <c r="P22" i="36"/>
  <c r="N22" i="36"/>
  <c r="L22" i="36"/>
  <c r="I22" i="36"/>
  <c r="O22" i="36" s="1"/>
  <c r="P21" i="36"/>
  <c r="N21" i="36"/>
  <c r="L21" i="36"/>
  <c r="I21" i="36"/>
  <c r="M21" i="36" s="1"/>
  <c r="P20" i="36"/>
  <c r="N20" i="36"/>
  <c r="L20" i="36"/>
  <c r="I20" i="36"/>
  <c r="O20" i="36" s="1"/>
  <c r="Q20" i="36"/>
  <c r="I19" i="36"/>
  <c r="L19" i="36" s="1"/>
  <c r="P18" i="36"/>
  <c r="N18" i="36"/>
  <c r="L18" i="36"/>
  <c r="I18" i="36"/>
  <c r="Q18" i="36" s="1"/>
  <c r="P17" i="36"/>
  <c r="N17" i="36"/>
  <c r="L17" i="36"/>
  <c r="I17" i="36"/>
  <c r="O17" i="36"/>
  <c r="M17" i="36"/>
  <c r="P16" i="36"/>
  <c r="N16" i="36"/>
  <c r="L16" i="36"/>
  <c r="I16" i="36"/>
  <c r="Q16" i="36"/>
  <c r="M16" i="36"/>
  <c r="P15" i="36"/>
  <c r="N15" i="36"/>
  <c r="L15" i="36"/>
  <c r="I15" i="36"/>
  <c r="Q15" i="36" s="1"/>
  <c r="Q14" i="36"/>
  <c r="O14" i="36"/>
  <c r="M14" i="36"/>
  <c r="I14" i="36"/>
  <c r="P14" i="36"/>
  <c r="N14" i="36"/>
  <c r="P13" i="36"/>
  <c r="N13" i="36"/>
  <c r="L13" i="36"/>
  <c r="I13" i="36"/>
  <c r="O13" i="36" s="1"/>
  <c r="M13" i="36"/>
  <c r="P12" i="36"/>
  <c r="N12" i="36"/>
  <c r="L12" i="36"/>
  <c r="I12" i="36"/>
  <c r="Q12" i="36" s="1"/>
  <c r="P11" i="36"/>
  <c r="N11" i="36"/>
  <c r="L11" i="36"/>
  <c r="I11" i="36"/>
  <c r="Q11" i="36" s="1"/>
  <c r="O11" i="36"/>
  <c r="F8" i="36"/>
  <c r="H4" i="36"/>
  <c r="H3" i="36"/>
  <c r="Q31" i="35"/>
  <c r="Q30" i="35"/>
  <c r="P30" i="35"/>
  <c r="I30" i="35"/>
  <c r="L30" i="35"/>
  <c r="O30" i="35"/>
  <c r="I29" i="35"/>
  <c r="P28" i="35"/>
  <c r="O28" i="35"/>
  <c r="N28" i="35"/>
  <c r="M28" i="35"/>
  <c r="L28" i="35"/>
  <c r="I28" i="35"/>
  <c r="Q28" i="35"/>
  <c r="P27" i="35"/>
  <c r="N27" i="35"/>
  <c r="L27" i="35"/>
  <c r="I27" i="35"/>
  <c r="Q27" i="35" s="1"/>
  <c r="O27" i="35"/>
  <c r="P26" i="35"/>
  <c r="N26" i="35"/>
  <c r="L26" i="35"/>
  <c r="I26" i="35"/>
  <c r="M26" i="35" s="1"/>
  <c r="Q25" i="35"/>
  <c r="P25" i="35"/>
  <c r="O25" i="35"/>
  <c r="N25" i="35"/>
  <c r="M25" i="35"/>
  <c r="L25" i="35"/>
  <c r="I25" i="35"/>
  <c r="I24" i="35"/>
  <c r="L24" i="35" s="1"/>
  <c r="P23" i="35"/>
  <c r="N23" i="35"/>
  <c r="L23" i="35"/>
  <c r="I23" i="35"/>
  <c r="M23" i="35" s="1"/>
  <c r="P22" i="35"/>
  <c r="N22" i="35"/>
  <c r="L22" i="35"/>
  <c r="I22" i="35"/>
  <c r="M22" i="35" s="1"/>
  <c r="Q21" i="35"/>
  <c r="P21" i="35"/>
  <c r="N21" i="35"/>
  <c r="L21" i="35"/>
  <c r="I21" i="35"/>
  <c r="O21" i="35" s="1"/>
  <c r="P20" i="35"/>
  <c r="N20" i="35"/>
  <c r="L20" i="35"/>
  <c r="I20" i="35"/>
  <c r="Q20" i="35" s="1"/>
  <c r="O20" i="35"/>
  <c r="I19" i="35"/>
  <c r="L19" i="35" s="1"/>
  <c r="P18" i="35"/>
  <c r="N18" i="35"/>
  <c r="L18" i="35"/>
  <c r="I18" i="35"/>
  <c r="O18" i="35" s="1"/>
  <c r="P17" i="35"/>
  <c r="N17" i="35"/>
  <c r="L17" i="35"/>
  <c r="I17" i="35"/>
  <c r="Q17" i="35" s="1"/>
  <c r="O17" i="35"/>
  <c r="P16" i="35"/>
  <c r="N16" i="35"/>
  <c r="L16" i="35"/>
  <c r="I16" i="35"/>
  <c r="M16" i="35" s="1"/>
  <c r="P15" i="35"/>
  <c r="N15" i="35"/>
  <c r="L15" i="35"/>
  <c r="I15" i="35"/>
  <c r="M15" i="35" s="1"/>
  <c r="Q15" i="35"/>
  <c r="Q14" i="35"/>
  <c r="O14" i="35"/>
  <c r="M14" i="35"/>
  <c r="I14" i="35"/>
  <c r="L14" i="35" s="1"/>
  <c r="P14" i="35"/>
  <c r="N14" i="35"/>
  <c r="P13" i="35"/>
  <c r="N13" i="35"/>
  <c r="L13" i="35"/>
  <c r="I13" i="35"/>
  <c r="Q13" i="35"/>
  <c r="M13" i="35"/>
  <c r="O13" i="35"/>
  <c r="Q12" i="35"/>
  <c r="P12" i="35"/>
  <c r="N12" i="35"/>
  <c r="L12" i="35"/>
  <c r="I12" i="35"/>
  <c r="M12" i="35"/>
  <c r="O12" i="35"/>
  <c r="P11" i="35"/>
  <c r="N11" i="35"/>
  <c r="L11" i="35"/>
  <c r="I11" i="35"/>
  <c r="O11" i="35" s="1"/>
  <c r="F8" i="35"/>
  <c r="H4" i="35"/>
  <c r="H3" i="35"/>
  <c r="L2" i="27"/>
  <c r="P2" i="27"/>
  <c r="S2" i="27"/>
  <c r="L3" i="27"/>
  <c r="P3" i="27"/>
  <c r="S3" i="27" s="1"/>
  <c r="L4" i="27"/>
  <c r="P4" i="27"/>
  <c r="S4" i="27"/>
  <c r="L5" i="27"/>
  <c r="P5" i="27"/>
  <c r="S5" i="27"/>
  <c r="L6" i="27"/>
  <c r="P6" i="27"/>
  <c r="S6" i="27" s="1"/>
  <c r="L7" i="27"/>
  <c r="P7" i="27"/>
  <c r="S7" i="27"/>
  <c r="L8" i="27"/>
  <c r="P8" i="27"/>
  <c r="S8" i="27"/>
  <c r="L9" i="27"/>
  <c r="P9" i="27"/>
  <c r="S9" i="27" s="1"/>
  <c r="L10" i="27"/>
  <c r="P10" i="27"/>
  <c r="S10" i="27"/>
  <c r="J13" i="27"/>
  <c r="J14" i="27"/>
  <c r="J15" i="27"/>
  <c r="J16" i="27"/>
  <c r="J17" i="27"/>
  <c r="J18" i="27"/>
  <c r="J19" i="27"/>
  <c r="I20" i="27"/>
  <c r="J20" i="27"/>
  <c r="E7" i="21"/>
  <c r="J11" i="21"/>
  <c r="J23" i="21" s="1"/>
  <c r="B8" i="21" s="1"/>
  <c r="K11" i="21"/>
  <c r="L11" i="21"/>
  <c r="J12" i="21"/>
  <c r="K12" i="21"/>
  <c r="L12" i="21"/>
  <c r="J13" i="21"/>
  <c r="K13" i="21"/>
  <c r="L13" i="21"/>
  <c r="J14" i="21"/>
  <c r="K14" i="21"/>
  <c r="L14" i="21"/>
  <c r="J15" i="21"/>
  <c r="K15" i="21"/>
  <c r="L15" i="21"/>
  <c r="J17" i="21"/>
  <c r="K17" i="21"/>
  <c r="L17" i="21"/>
  <c r="J18" i="21"/>
  <c r="K18" i="21"/>
  <c r="L18" i="21"/>
  <c r="J19" i="21"/>
  <c r="K19" i="21"/>
  <c r="L19" i="21"/>
  <c r="J20" i="21"/>
  <c r="K20" i="21"/>
  <c r="L20" i="21"/>
  <c r="J21" i="21"/>
  <c r="K21" i="21"/>
  <c r="L21" i="21"/>
  <c r="J22" i="21"/>
  <c r="K22" i="21"/>
  <c r="L22" i="21"/>
  <c r="E7" i="17"/>
  <c r="J11" i="17"/>
  <c r="K11" i="17"/>
  <c r="L11" i="17"/>
  <c r="J12" i="17"/>
  <c r="K12" i="17"/>
  <c r="L12" i="17"/>
  <c r="J13" i="17"/>
  <c r="K13" i="17"/>
  <c r="L13" i="17"/>
  <c r="J14" i="17"/>
  <c r="K14" i="17"/>
  <c r="L14" i="17"/>
  <c r="J15" i="17"/>
  <c r="K15" i="17"/>
  <c r="L15" i="17"/>
  <c r="J17" i="17"/>
  <c r="K17" i="17"/>
  <c r="L17" i="17"/>
  <c r="J18" i="17"/>
  <c r="K18" i="17"/>
  <c r="L18" i="17"/>
  <c r="J19" i="17"/>
  <c r="K19" i="17"/>
  <c r="L19" i="17"/>
  <c r="J20" i="17"/>
  <c r="K20" i="17"/>
  <c r="L20" i="17"/>
  <c r="J21" i="17"/>
  <c r="K21" i="17"/>
  <c r="L21" i="17"/>
  <c r="J22" i="17"/>
  <c r="K22" i="17"/>
  <c r="L22" i="17"/>
  <c r="E7" i="20"/>
  <c r="J11" i="20"/>
  <c r="K11" i="20"/>
  <c r="L11" i="20"/>
  <c r="J12" i="20"/>
  <c r="K12" i="20"/>
  <c r="L12" i="20"/>
  <c r="J13" i="20"/>
  <c r="K13" i="20"/>
  <c r="L13" i="20"/>
  <c r="J14" i="20"/>
  <c r="K14" i="20"/>
  <c r="L14" i="20"/>
  <c r="J15" i="20"/>
  <c r="K15" i="20"/>
  <c r="L15" i="20"/>
  <c r="J17" i="20"/>
  <c r="K17" i="20"/>
  <c r="L17" i="20"/>
  <c r="J18" i="20"/>
  <c r="K18" i="20"/>
  <c r="L18" i="20"/>
  <c r="J19" i="20"/>
  <c r="K19" i="20"/>
  <c r="L19" i="20"/>
  <c r="J20" i="20"/>
  <c r="K20" i="20"/>
  <c r="L20" i="20"/>
  <c r="J21" i="20"/>
  <c r="K21" i="20"/>
  <c r="L21" i="20"/>
  <c r="J22" i="20"/>
  <c r="K22" i="20"/>
  <c r="L22" i="20"/>
  <c r="E7" i="19"/>
  <c r="J11" i="19"/>
  <c r="K11" i="19"/>
  <c r="L11" i="19"/>
  <c r="J12" i="19"/>
  <c r="K12" i="19"/>
  <c r="L12" i="19"/>
  <c r="J13" i="19"/>
  <c r="K13" i="19"/>
  <c r="L13" i="19"/>
  <c r="J14" i="19"/>
  <c r="K14" i="19"/>
  <c r="L14" i="19"/>
  <c r="J15" i="19"/>
  <c r="K15" i="19"/>
  <c r="L15" i="19"/>
  <c r="J17" i="19"/>
  <c r="K17" i="19"/>
  <c r="L17" i="19"/>
  <c r="J18" i="19"/>
  <c r="K18" i="19"/>
  <c r="L18" i="19"/>
  <c r="J19" i="19"/>
  <c r="K19" i="19"/>
  <c r="L19" i="19"/>
  <c r="J20" i="19"/>
  <c r="K20" i="19"/>
  <c r="L20" i="19"/>
  <c r="J21" i="19"/>
  <c r="K21" i="19"/>
  <c r="L21" i="19"/>
  <c r="J22" i="19"/>
  <c r="K22" i="19"/>
  <c r="L22" i="19"/>
  <c r="O18" i="38"/>
  <c r="M23" i="38"/>
  <c r="Q23" i="38"/>
  <c r="M26" i="38"/>
  <c r="Q26" i="38"/>
  <c r="O28" i="38"/>
  <c r="M11" i="38"/>
  <c r="M18" i="38"/>
  <c r="Q12" i="37"/>
  <c r="O21" i="37"/>
  <c r="P25" i="37"/>
  <c r="M26" i="37"/>
  <c r="Q26" i="37"/>
  <c r="O15" i="37"/>
  <c r="M11" i="37"/>
  <c r="M18" i="37"/>
  <c r="M21" i="37"/>
  <c r="Q30" i="36"/>
  <c r="M11" i="36"/>
  <c r="M25" i="36"/>
  <c r="M17" i="35"/>
  <c r="Q28" i="37"/>
  <c r="M12" i="38"/>
  <c r="M17" i="38"/>
  <c r="M28" i="38"/>
  <c r="P14" i="38"/>
  <c r="P10" i="38"/>
  <c r="P31" i="38" s="1"/>
  <c r="Q22" i="38"/>
  <c r="Q16" i="35"/>
  <c r="O11" i="38"/>
  <c r="M12" i="36"/>
  <c r="O16" i="36"/>
  <c r="Q17" i="38"/>
  <c r="O27" i="37"/>
  <c r="Q12" i="38"/>
  <c r="N14" i="38"/>
  <c r="N10" i="38" s="1"/>
  <c r="N31" i="38" s="1"/>
  <c r="M15" i="38"/>
  <c r="Q23" i="37"/>
  <c r="M27" i="38"/>
  <c r="M16" i="37"/>
  <c r="M18" i="35"/>
  <c r="M21" i="35"/>
  <c r="M27" i="35"/>
  <c r="L14" i="36"/>
  <c r="O22" i="37"/>
  <c r="M22" i="37"/>
  <c r="M20" i="36"/>
  <c r="M20" i="35"/>
  <c r="Q21" i="36"/>
  <c r="M20" i="38"/>
  <c r="O21" i="36"/>
  <c r="M17" i="37"/>
  <c r="O20" i="38"/>
  <c r="M27" i="36"/>
  <c r="O27" i="36"/>
  <c r="Q17" i="36"/>
  <c r="M22" i="36"/>
  <c r="M15" i="37"/>
  <c r="L25" i="37"/>
  <c r="Q13" i="38"/>
  <c r="O12" i="37"/>
  <c r="M23" i="37"/>
  <c r="M28" i="37"/>
  <c r="Q16" i="38"/>
  <c r="O16" i="35"/>
  <c r="P14" i="37"/>
  <c r="H5" i="37" l="1"/>
  <c r="L10" i="37"/>
  <c r="L10" i="38"/>
  <c r="Q17" i="37"/>
  <c r="O16" i="38"/>
  <c r="J23" i="20"/>
  <c r="B8" i="20" s="1"/>
  <c r="K23" i="17"/>
  <c r="C8" i="17" s="1"/>
  <c r="N10" i="35"/>
  <c r="N31" i="35" s="1"/>
  <c r="O22" i="35"/>
  <c r="K23" i="20"/>
  <c r="C8" i="20" s="1"/>
  <c r="L23" i="17"/>
  <c r="P10" i="35"/>
  <c r="P31" i="35" s="1"/>
  <c r="M28" i="36"/>
  <c r="M10" i="38"/>
  <c r="M31" i="38" s="1"/>
  <c r="C9" i="38" s="1"/>
  <c r="N10" i="36"/>
  <c r="N31" i="36" s="1"/>
  <c r="O10" i="37"/>
  <c r="O31" i="37" s="1"/>
  <c r="D9" i="37" s="1"/>
  <c r="C3" i="37" s="1"/>
  <c r="N10" i="37"/>
  <c r="N31" i="37" s="1"/>
  <c r="Q11" i="35"/>
  <c r="L10" i="35"/>
  <c r="L23" i="20"/>
  <c r="D8" i="20" s="1"/>
  <c r="M11" i="35"/>
  <c r="M10" i="35" s="1"/>
  <c r="M31" i="35" s="1"/>
  <c r="C9" i="35" s="1"/>
  <c r="Q27" i="37"/>
  <c r="M13" i="37"/>
  <c r="P10" i="37"/>
  <c r="P31" i="37" s="1"/>
  <c r="O18" i="37"/>
  <c r="J23" i="19"/>
  <c r="B8" i="19" s="1"/>
  <c r="B2" i="19" s="1"/>
  <c r="L23" i="19"/>
  <c r="J23" i="17"/>
  <c r="B8" i="17" s="1"/>
  <c r="B2" i="17" s="1"/>
  <c r="L23" i="21"/>
  <c r="Q18" i="35"/>
  <c r="Q22" i="35"/>
  <c r="Q22" i="36"/>
  <c r="O13" i="37"/>
  <c r="K23" i="19"/>
  <c r="K23" i="21"/>
  <c r="C8" i="21" s="1"/>
  <c r="B2" i="21" s="1"/>
  <c r="O12" i="36"/>
  <c r="M18" i="36"/>
  <c r="Q26" i="36"/>
  <c r="M10" i="37"/>
  <c r="M31" i="37" s="1"/>
  <c r="C9" i="37" s="1"/>
  <c r="L10" i="36"/>
  <c r="H5" i="38"/>
  <c r="H5" i="36"/>
  <c r="O15" i="38"/>
  <c r="O10" i="38" s="1"/>
  <c r="O31" i="38" s="1"/>
  <c r="O26" i="35"/>
  <c r="Q23" i="35"/>
  <c r="M23" i="36"/>
  <c r="P30" i="36"/>
  <c r="P10" i="36" s="1"/>
  <c r="P31" i="36" s="1"/>
  <c r="O23" i="35"/>
  <c r="Q26" i="35"/>
  <c r="Q13" i="36"/>
  <c r="M15" i="36"/>
  <c r="O15" i="35"/>
  <c r="H5" i="35" s="1"/>
  <c r="O18" i="36"/>
  <c r="O15" i="36"/>
  <c r="E9" i="35"/>
  <c r="Q23" i="36"/>
  <c r="O26" i="36"/>
  <c r="R32" i="37" l="1"/>
  <c r="M10" i="36"/>
  <c r="M31" i="36" s="1"/>
  <c r="C9" i="36" s="1"/>
  <c r="O10" i="36"/>
  <c r="O31" i="36" s="1"/>
  <c r="D9" i="38"/>
  <c r="C3" i="38" s="1"/>
  <c r="R32" i="38"/>
  <c r="R32" i="36"/>
  <c r="D9" i="36"/>
  <c r="C3" i="36" s="1"/>
  <c r="O10" i="35"/>
  <c r="O31" i="35" s="1"/>
  <c r="D9" i="35" l="1"/>
  <c r="C3" i="35" s="1"/>
  <c r="R32"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ass</author>
  </authors>
  <commentList>
    <comment ref="M32" authorId="0" shapeId="0" xr:uid="{00000000-0006-0000-0000-000001000000}">
      <text>
        <r>
          <rPr>
            <b/>
            <sz val="8"/>
            <color indexed="81"/>
            <rFont val="Tahoma"/>
            <family val="2"/>
          </rPr>
          <t>מוריד 50% אם היה משהו חריג בשיחה</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ass</author>
  </authors>
  <commentList>
    <comment ref="M32" authorId="0" shapeId="0" xr:uid="{00000000-0006-0000-0100-000001000000}">
      <text>
        <r>
          <rPr>
            <b/>
            <sz val="8"/>
            <color indexed="81"/>
            <rFont val="Tahoma"/>
            <family val="2"/>
          </rPr>
          <t>מוריד 50% אם היה משהו חריג בשיחה</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ass</author>
  </authors>
  <commentList>
    <comment ref="M32" authorId="0" shapeId="0" xr:uid="{00000000-0006-0000-0200-000001000000}">
      <text>
        <r>
          <rPr>
            <b/>
            <sz val="8"/>
            <color indexed="81"/>
            <rFont val="Tahoma"/>
            <family val="2"/>
          </rPr>
          <t>מוריד 50% אם היה משהו חריג בשיחה</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ass</author>
  </authors>
  <commentList>
    <comment ref="M32" authorId="0" shapeId="0" xr:uid="{00000000-0006-0000-0300-000001000000}">
      <text>
        <r>
          <rPr>
            <b/>
            <sz val="8"/>
            <color indexed="81"/>
            <rFont val="Tahoma"/>
            <family val="2"/>
          </rPr>
          <t>מוריד 50% אם היה משהו חריג בשיחה</t>
        </r>
      </text>
    </comment>
  </commentList>
</comments>
</file>

<file path=xl/sharedStrings.xml><?xml version="1.0" encoding="utf-8"?>
<sst xmlns="http://schemas.openxmlformats.org/spreadsheetml/2006/main" count="986" uniqueCount="234">
  <si>
    <t>ציון האזנה</t>
  </si>
  <si>
    <t xml:space="preserve">שם נציג: </t>
  </si>
  <si>
    <t xml:space="preserve">תאריך: </t>
  </si>
  <si>
    <t>בוצע</t>
  </si>
  <si>
    <t>לא בוצע</t>
  </si>
  <si>
    <r>
      <rPr>
        <b/>
        <sz val="12"/>
        <rFont val="Arial"/>
        <family val="2"/>
      </rPr>
      <t>∞∞∞∞∞∞∞∞∞∞∞∞∞∞∞∞∞∞∞∞∞∞∞∞∞∞∞∞∞∞∞∞∞∞∞∞</t>
    </r>
    <r>
      <rPr>
        <b/>
        <sz val="12"/>
        <rFont val="David"/>
        <family val="2"/>
        <charset val="177"/>
      </rPr>
      <t xml:space="preserve"> פרטי פניה  </t>
    </r>
    <r>
      <rPr>
        <b/>
        <sz val="12"/>
        <rFont val="Arial"/>
        <family val="2"/>
      </rPr>
      <t>∞∞∞∞∞∞∞∞∞∞∞∞∞∞∞∞∞∞∞∞∞∞∞∞∞∞∞∞∞∞</t>
    </r>
  </si>
  <si>
    <t>ניקוד</t>
  </si>
  <si>
    <t>לא רלוונטי</t>
  </si>
  <si>
    <t>שם לקוח------&gt;</t>
  </si>
  <si>
    <t>מספר פניה ------&gt;</t>
  </si>
  <si>
    <t>מספר שיחה ------&gt;</t>
  </si>
  <si>
    <t>ציון השיחה ------&gt;</t>
  </si>
  <si>
    <t>מתן פתרונות במהלך השיחה  עם הלקוח, מתן הסברים מפורטים</t>
  </si>
  <si>
    <t>סיכום שיחה :</t>
  </si>
  <si>
    <t>הערות כלליות :</t>
  </si>
  <si>
    <t>נקודות לשימור:</t>
  </si>
  <si>
    <t>נקודות לשיפור:</t>
  </si>
  <si>
    <t>בירור פרטים  ורמת מקצועיות</t>
  </si>
  <si>
    <t>איתור צרכי לקוח ושיקוף הבעיה שבגינה פנה</t>
  </si>
  <si>
    <t>איכות שיחה וחווית לקוח :</t>
  </si>
  <si>
    <t>האם ניתן מענה לכל השאלות אותן הציג הלקוח?</t>
  </si>
  <si>
    <t>שיחה 1</t>
  </si>
  <si>
    <t>שיחה 2</t>
  </si>
  <si>
    <t xml:space="preserve">שיחה 3 </t>
  </si>
  <si>
    <t>האם הנציג תיעד את מהלך השיחה באופן ברור ונכון בcrm</t>
  </si>
  <si>
    <t xml:space="preserve">האם הנציג מתבטא באופן שרותי </t>
  </si>
  <si>
    <t>שם מוקד  ------&gt;</t>
  </si>
  <si>
    <t>אנג'ל</t>
  </si>
  <si>
    <t>אוונט</t>
  </si>
  <si>
    <t>חלי</t>
  </si>
  <si>
    <t>סטארקיסט</t>
  </si>
  <si>
    <t>סוגת</t>
  </si>
  <si>
    <t>יצירת קשר אישי עם הלקוח</t>
  </si>
  <si>
    <t xml:space="preserve">מתן מידע ושימוש במערכות </t>
  </si>
  <si>
    <t xml:space="preserve">הרגעת לקוח כועס וטיפול בהתנגדויות </t>
  </si>
  <si>
    <t xml:space="preserve">אם הנציג נתן הסבר מפורט לגבי נושא רלוונטי ?הסברת רציונל </t>
  </si>
  <si>
    <t xml:space="preserve">סגירת טיפול : 
 וידוא הבנה לגבי הפתרון וההמשך
 וידוא שביעות רצון הלקוח מהפתרון
 בדיקה האם יש משהו נוסף שהלקוח צריך
</t>
  </si>
  <si>
    <t>האם הנציג הוביל את השיחה ?</t>
  </si>
  <si>
    <t>סילבי</t>
  </si>
  <si>
    <t xml:space="preserve">סגירת טיפול : 
-וידוא הבנה לגבי הפתרון וההמשך
- וידוא שביעות רצון הלקוח מהפתרון
-בדיקה האם יש משהו נוסף שהלקוח צריך
</t>
  </si>
  <si>
    <t>רושדי</t>
  </si>
  <si>
    <t>נציגה</t>
  </si>
  <si>
    <t xml:space="preserve">ציון האזנות </t>
  </si>
  <si>
    <t xml:space="preserve">נצילות </t>
  </si>
  <si>
    <t>תפוקה</t>
  </si>
  <si>
    <t>הפסקות Lunch</t>
  </si>
  <si>
    <t>משך Lunch</t>
  </si>
  <si>
    <t>הפסקות Administrative</t>
  </si>
  <si>
    <t>משך Administrative</t>
  </si>
  <si>
    <t>הפסקות Private</t>
  </si>
  <si>
    <t>משך Private</t>
  </si>
  <si>
    <t xml:space="preserve">שעות עבודה </t>
  </si>
  <si>
    <t>שעות עבודה פחות אדמין, הפסקות ופריבט</t>
  </si>
  <si>
    <t xml:space="preserve">סה"כ שעות עבודה נטו </t>
  </si>
  <si>
    <t xml:space="preserve">שיחות יוצאות </t>
  </si>
  <si>
    <t xml:space="preserve">שיחות נכנסות </t>
  </si>
  <si>
    <t>שיחות נכנסות +יוצאות</t>
  </si>
  <si>
    <t>משך שיחות נכנסות</t>
  </si>
  <si>
    <t xml:space="preserve">משך שיחות יוצאות </t>
  </si>
  <si>
    <t xml:space="preserve">תפוקה לשעת עבודה </t>
  </si>
  <si>
    <t>קריסטל אלפסי שיתופי 17</t>
  </si>
  <si>
    <t>קרין טלקר ביארס כמיפל 42</t>
  </si>
  <si>
    <t>עדן רוזנבלט 40</t>
  </si>
  <si>
    <t>סילבי זיתון שיתופי 34</t>
  </si>
  <si>
    <t>סיון בן עטר אפוס 37</t>
  </si>
  <si>
    <t>לוריס נחמד שיתופי 18</t>
  </si>
  <si>
    <t>חלי סבח שיתופי 39</t>
  </si>
  <si>
    <t>דינה אברמוב שיתופי 21</t>
  </si>
  <si>
    <t>אוראל קדוש שיתופי 11</t>
  </si>
  <si>
    <t xml:space="preserve">מכירות </t>
  </si>
  <si>
    <t>מוקד:</t>
  </si>
  <si>
    <t>סה"כ שיחות במוקד</t>
  </si>
  <si>
    <t>ננטשות</t>
  </si>
  <si>
    <t>אחוז ננטשות</t>
  </si>
  <si>
    <t>שם נציגה</t>
  </si>
  <si>
    <t>ציון האזנות</t>
  </si>
  <si>
    <t>יעד</t>
  </si>
  <si>
    <t>מכירות</t>
  </si>
  <si>
    <t>אחוז מכירות</t>
  </si>
  <si>
    <t xml:space="preserve">שירן </t>
  </si>
  <si>
    <t>דיפלומט</t>
  </si>
  <si>
    <t>שני</t>
  </si>
  <si>
    <t>מאי</t>
  </si>
  <si>
    <t>רונית</t>
  </si>
  <si>
    <t>כמיפל</t>
  </si>
  <si>
    <t>סה"כ -</t>
  </si>
  <si>
    <t xml:space="preserve">דו"ח  מוקד סוגת </t>
  </si>
  <si>
    <t>חישוב ניקוד רגיל</t>
  </si>
  <si>
    <t>כן</t>
  </si>
  <si>
    <t>לא</t>
  </si>
  <si>
    <t>∞∞∞∞∞∞∞∞∞∞∞∞∞∞∞∞∞∞∞∞∞∞∞∞∞∞∞∞∞∞∞∞∞∞∞∞ פרטי פניה  ∞∞∞∞∞∞∞∞∞∞∞∞∞∞∞∞∞∞∞∞∞∞∞∞∞∞∞∞∞∞</t>
  </si>
  <si>
    <t xml:space="preserve">פתיחת שיחה </t>
  </si>
  <si>
    <t>האם בוצעה הכנה מוקדת - במידה הצורך ( שיחה יוצאת)</t>
  </si>
  <si>
    <t xml:space="preserve">פתיחת שיחה + הצגת עצמית </t>
  </si>
  <si>
    <t>הקשבה פעילה</t>
  </si>
  <si>
    <t xml:space="preserve">איתור צורך  </t>
  </si>
  <si>
    <t>האם הובנה פניית הלקוח</t>
  </si>
  <si>
    <t>האם ניתן הסבר מפורט על מועד האספקה?</t>
  </si>
  <si>
    <t>האם ההזמנה הוזנה נכון למערכת ?</t>
  </si>
  <si>
    <t>האם הנציג הפגין רמת ידע גבוהה ומקצועיות במהלך השיחה?</t>
  </si>
  <si>
    <t>דיאלוג</t>
  </si>
  <si>
    <t xml:space="preserve">דיאלוג </t>
  </si>
  <si>
    <t>האם בוצעה שאילת שאלות ?</t>
  </si>
  <si>
    <t>מתן פתרונות במהלך השיחה עם הלקוח, מתן הסברים מפורטים</t>
  </si>
  <si>
    <t>מכירה</t>
  </si>
  <si>
    <t>האם בוצע הגדלת מגוון או נפח?</t>
  </si>
  <si>
    <t>האם קיבל מענה על כל שאלותיו ?</t>
  </si>
  <si>
    <t>האם בוצע וידוא על רכישת סכום מינימום ?</t>
  </si>
  <si>
    <t>מי שרלוונטי - האם בוצעה חזרה על פרטי ההזמנה ?</t>
  </si>
  <si>
    <t>האם  בוצע מעקב במידת הצורך?</t>
  </si>
  <si>
    <t>מי שרלוונטי - האם בוצע זמינות ?</t>
  </si>
  <si>
    <t>יוני</t>
  </si>
  <si>
    <t xml:space="preserve">לחם קשה לאכילה </t>
  </si>
  <si>
    <t xml:space="preserve">שיחה נעימה הוסבר הליך פניה באופן ברור </t>
  </si>
  <si>
    <t>052-8678088</t>
  </si>
  <si>
    <t>053-9431690</t>
  </si>
  <si>
    <t xml:space="preserve">נטלי אמסלם </t>
  </si>
  <si>
    <t>לחמניות קשות</t>
  </si>
  <si>
    <t xml:space="preserve">בשיחה השניה לא להגיד ללקוח מה צריך להיות תאריך התפוגה שיגיד את זה לבד </t>
  </si>
  <si>
    <t>052-7147345</t>
  </si>
  <si>
    <t xml:space="preserve">נתן הרפז </t>
  </si>
  <si>
    <t xml:space="preserve"> לחם בצקי ושרוף </t>
  </si>
  <si>
    <t xml:space="preserve">לקיחת פרטים מלאים והקשבה ללקוח שיחה טובה </t>
  </si>
  <si>
    <t>יואל</t>
  </si>
  <si>
    <t>קר</t>
  </si>
  <si>
    <t>חנה</t>
  </si>
  <si>
    <t>עדן</t>
  </si>
  <si>
    <t>אוגוסט</t>
  </si>
  <si>
    <t>שלי</t>
  </si>
  <si>
    <t>שירן</t>
  </si>
  <si>
    <t>אנה</t>
  </si>
  <si>
    <t>054-5955025</t>
  </si>
  <si>
    <t xml:space="preserve">לקוחה מלינה על לחם פג תוקף </t>
  </si>
  <si>
    <t xml:space="preserve">שיחה יוצאת לקיחת הזמנה </t>
  </si>
  <si>
    <t xml:space="preserve">שיחה נכנסת לא הציגה את השם </t>
  </si>
  <si>
    <t xml:space="preserve">ביטחון מול הלקוח ידע לגבי המוצרים </t>
  </si>
  <si>
    <t xml:space="preserve">להציע יותר ללקוח ולא רק מה שהוא צריך </t>
  </si>
  <si>
    <t>יש להקפיד על ציון השם בשיחה נכנסת סוגת שלום מדברת חנה ולא סוגת</t>
  </si>
  <si>
    <t xml:space="preserve">לוקחת פרטים מלאים , מתנצלת על אי הנעימות , טונציה נעימה </t>
  </si>
  <si>
    <t xml:space="preserve">שיחות טובות תמיד קשובה ללקוח </t>
  </si>
  <si>
    <t xml:space="preserve">מציעה תמיד מהמגון מקפידה על זמינות </t>
  </si>
  <si>
    <t xml:space="preserve">להציג את השם בתחילת שיחה </t>
  </si>
  <si>
    <t xml:space="preserve">למאי אין אופציות להגדיל הזמנות </t>
  </si>
  <si>
    <t xml:space="preserve">היחידה שעונה ומציגה את עצמה בשיחה נכנסת  , הקשבה מלאה ללקוח חזרה על פירטי המוצר </t>
  </si>
  <si>
    <t xml:space="preserve">חוזרת על ההזמנה בקביעות </t>
  </si>
  <si>
    <t xml:space="preserve">חזרה ללקוח לקבלת הזמנה </t>
  </si>
  <si>
    <t xml:space="preserve">שיחה יוצאת בוצעה הזמנה </t>
  </si>
  <si>
    <t xml:space="preserve">חזרה עם הלקוח עם המוצרים שבחר </t>
  </si>
  <si>
    <t xml:space="preserve">סבלנות בזמן השיחה </t>
  </si>
  <si>
    <t xml:space="preserve">ידע לגבי המלאי והובלת שיחה </t>
  </si>
  <si>
    <t xml:space="preserve">יותר  ביטחון בשיחות וכן להציע את כל המגון </t>
  </si>
  <si>
    <t xml:space="preserve">כנשאל לגבי מוצר מסוים מה הם לוקחים בדרך כלל נאמר לא זוכרת אפשר להגיד ללקוח שאת חדשה ואת לא יודעת מה לוקחים </t>
  </si>
  <si>
    <t xml:space="preserve">יש שיחות בהן היא כן מובילה את השיחות ויש שיחות שהיא נלחצת ונותנת ללקוח להוביל </t>
  </si>
  <si>
    <t xml:space="preserve">לקוח מלין על סוגר מסוכן של הלחם - פנה דרך הפייסבוק </t>
  </si>
  <si>
    <t xml:space="preserve">לוקחת פרטים מלאים , מתנצלת על אי הנעימות , טונציה נעימה , מעבירה להצעת ייעול </t>
  </si>
  <si>
    <t>זיו</t>
  </si>
  <si>
    <t xml:space="preserve">אדטו פירחה </t>
  </si>
  <si>
    <t xml:space="preserve">לקוחה מלינה על יובש בלחם </t>
  </si>
  <si>
    <t xml:space="preserve">יש להסביר רציונל על עובש </t>
  </si>
  <si>
    <t xml:space="preserve">לקוחה מלינה על עובש בטונה טו גו </t>
  </si>
  <si>
    <t xml:space="preserve">לקוחה התלוננה באתר על עצמות בטונה </t>
  </si>
  <si>
    <t xml:space="preserve">בשיחה השנייה לא הוסבר רציונל על טונה , אין לומר ללקוחה דוגמא על הבן שלה שהיא לא נותנת לבן שלה טונה - ממש לא , מנסה לחנך את הלקוחה מתחילת השיחה היה צורך להסביר רציונל  </t>
  </si>
  <si>
    <t>לקוחה התלוננה על עצמות בטונה</t>
  </si>
  <si>
    <t xml:space="preserve">בשיחה השלישית הנציגה צריכה להסביר רציונל , נשמעת מעט צינית וישר מבקשת פרטים ללא הסבר  , יש להתחיל להתנצל על החוויה הלא נעימה .הלקוחה הרימה את הקול בגלל שלא הבינה במה מדובר כי הנציגה התחילה איתה מהסוף  . הלקוחה אמרה לנציגה שנה טובה ובירכה אותה והנציגה אמרה תודה וניתקה </t>
  </si>
  <si>
    <t>ציון משוב</t>
  </si>
  <si>
    <t>מס' נייד</t>
  </si>
  <si>
    <t xml:space="preserve">יצירת קשר אישי עם הלקוח </t>
  </si>
  <si>
    <t>איתור צורך</t>
  </si>
  <si>
    <t xml:space="preserve">תחום                                                                                                                                                     תיאור והערות מקצועיות </t>
  </si>
  <si>
    <t>השיחה נפתחה בצורה נעימה ומקצועית. הצגה עצמית ,שימוש בשם הלקוח ושמרה על טון מדויק – מזמין, חיובי ובטוח. נוצר חיבור מהיר ותחושת נוחות אצל הלקוח.</t>
  </si>
  <si>
    <t>טיפול בהתנגדויות / חששות</t>
  </si>
  <si>
    <t>מתן פתרון מותאם</t>
  </si>
  <si>
    <t>מתן מידע ושימוש במערכות</t>
  </si>
  <si>
    <t>הובלת שיחה</t>
  </si>
  <si>
    <t>סגירת טיפול / סיום שיחה</t>
  </si>
  <si>
    <t xml:space="preserve">ציון </t>
  </si>
  <si>
    <t>סוכמו כל הפרטים, ניתנה סקירה ברורה של שלבי ההמשך, בוצע ווידוא הבנה,  הסתיים בתיאום מלא לשביעות רצון הלקוח.</t>
  </si>
  <si>
    <t>השיחה התנהלה באופן רציף, ממוקד ומסודר. ניהול קצב שיחה הובילה את הלקוח לאורך התהליך, שמרה על שליטה ולא המתינה לשאלות – אלא הקדימה הסברים ביוזמה.</t>
  </si>
  <si>
    <t xml:space="preserve">	  האם השתמש  במבנה תגובה מלא – אמפתיה &gt; פאוזה &gt; פתרון מותאם</t>
  </si>
  <si>
    <t>העברת מידע ברור על שלבי התהליך, תיאמה פגישה ללא תקלות, פעלה בהתאם לנהלים ותוך תפעול נכון של המערכת.</t>
  </si>
  <si>
    <t>ניהול שיחה חוקרת, תוך שימוש בשאלות פתוחות וסגורות. הקשבה באופן פעיל, חזרה על עיקרי דברי הלקוח ושיקוף  בצורה מדויקת את הצורך המרכזי –  לדוגמא חיסכון בעלויות חשמל ושדרוג איכות החיים בבית.</t>
  </si>
  <si>
    <t>הצגת תועלות ברורות וממוקדות , הצעת  אלטרנטיבות לבחירה.  שימוש בשפה חיובית וושיווק השירות בצורה מקצועית ועניינית.</t>
  </si>
  <si>
    <t>דיוד</t>
  </si>
  <si>
    <t>האם תואמה פגישה</t>
  </si>
  <si>
    <t>כן/לא</t>
  </si>
  <si>
    <t>תואמה פגישה</t>
  </si>
  <si>
    <t xml:space="preserve">תואמה פגישה </t>
  </si>
  <si>
    <t xml:space="preserve">מעיין </t>
  </si>
  <si>
    <t>אלינור</t>
  </si>
  <si>
    <t>×</t>
  </si>
  <si>
    <t>מרץ  26</t>
  </si>
  <si>
    <t>מרץ 26</t>
  </si>
  <si>
    <t>אלינור פתחה את השיחה בצורה נעימה ובדקה אם זה זמן נוח. בהמשך ביצעה תשאול ראשוני מסודר לגבי סוג הנכס, בעלות, חיבור קבוע, מיקום המונה וסוג הגג. לאחר מכן שלחה ללקוחה תצלום אוויר, אימתה מולה את הבית, ביצעה בדיקה של הגג ועדכנה שהגג מתאים מבחינת הגודל. בהמשך מסרה טווח מחירים כללי, הסבירה את המשך התהליך, ובסיום תיאמה שיחה מול מומחה תוך ניסיון להתאים את הזמינות של הלקוחה.</t>
  </si>
  <si>
    <t>השיחה התנהלה בצורה שירותית, רגועה ומקצועית. אלינור שמרה על רצף עבודה נכון, ידעה להסביר את שלבי התהליך, ועבדה בצורה מסודרת מול התצלום והנתונים. לצד זאת, עלה בשיחה שהלקוחה מעדיפה שבעלה יהיה מעורב ושגם אופן קבלת המידע חשוב לה, ולכן היה מקום לחדד מעט יותר את ההתאמה להעדפות שלה כבר בזמן התיאום.</t>
  </si>
  <si>
    <t>עבודה טובה עם תצלום אוויר ואימות מול הלקוחה</t>
  </si>
  <si>
    <t>כשלקוחה מציינת שחשוב לה שבעלה יהיה חלק מהשיחה, נכון להתעכב עוד רגע על הזמינות המשותפת ולא רק על פתרון חלופי</t>
  </si>
  <si>
    <t>052-8580729</t>
  </si>
  <si>
    <t>052-5512208</t>
  </si>
  <si>
    <t>אלינור פתחה את השיחה בצורה נעימה ומסודרת, הציגה את מטרת הפנייה והובילה את הלקוחה לתשאול ראשוני מלא. במהלך השיחה ביררה בעלות על הנכס, סוג הבית, טופס 4, חיבור קבוע, תלת פאזי, נושא המונה וסוג הגג. עלה כי מדובר בבית שנרכש וטרם אוכלס, ולכן הלקוחה עדיין לא ידעה למסור מידע מלא לגבי מיקום המונה. אלינור הסבירה בצורה ברורה את המשמעות של מונה חכם לעומת מונה פנימי רגיל, ולאחר מכן עברה לבדיקה בתצלום אוויר, זיהתה את מבנה הגג ואת המפלסים, ואישרה שהגג מתאים מבחינת הגודל. בהמשך מסרה טווח מחירים כללי, תיאמה שיחה עם מומחה וסיימה את השיחה בצורה מסודרת ונעימה.</t>
  </si>
  <si>
    <t>השיחה נוהלה בצורה מקצועית, רגועה ומדויקת. אלינור שמרה על רצף ברור, ידעה להתאים את עצמה לכך שהלקוחה עדיין לא מתגוררת בנכס, והמשיכה את הסינון מבלי לייצר בלבול או לחץ. בנוסף, העבודה מול תצלום האוויר הייתה טובה, עם שאלות ממוקדות שסייעו להבין את מבנה הגג בפועל. זה היה טיפול נכון ומסודר בליד שעדיין נמצא בשלב מוקדם יחסית.</t>
  </si>
  <si>
    <t>פתיחה נעימה והובלת שיחה רגועה</t>
  </si>
  <si>
    <t>הסבר ברור בנושא המונה והמשמעויות להמשך</t>
  </si>
  <si>
    <t>050-2626755</t>
  </si>
  <si>
    <t>שמירה על שיחה רגועה גם כשעולה בלבול או חוסר בהירות</t>
  </si>
  <si>
    <t>אלינור פתחה את השיחה בצורה נעימה, הציגה את מטרת הפנייה ובדקה אם זה זמן מתאים. במהלך השיחה הלקוח ביקש להבין קודם כל מה בדיוק מוצע, ובהמשך שאל שאלות ממוקדות סביב גודל מינימלי, אפשרות להקמה בגובה, והאם ניתן להמשיך להשתמש בגג כשטח ישיבה. אלינור ניסתה להבין את הצורך בפועל, זיהתה שמדובר בגג שנמצא בשימוש, והסבירה את ההבדל בין מערכת רגילה לבין פרגולה סולארית. בהמשך עלה גם נושא ההיתר מעל 50 מ"ר. הלקוח ביקש לחזור לשיחה ביום ראשון לאחר שיארגן את הנתונים, ואלינור סגרה את השיחה בצורה מסודרת.</t>
  </si>
  <si>
    <t>השיחה הייתה טובה מבחינת גישה, סבלנות וניסיון להבין את הצורך האמיתי של הלקוח. אלינור שמרה על שיח ענייני וידעה לעצור כשהלקוח ביקש להמשיך במועד אחר. לצד זאת, ניכר שבחלק של ההסבר על פרגולה סולארית היה בלבול מסוים, וההבדל בין פרגולה ייעודית לבין קונסטרוקציה רגילה לא הועבר בצורה מספיק חדה מההתחלה.</t>
  </si>
  <si>
    <t>לחדד מוקדם יותר ובצורה ברורה יותר מה ההבדל בין מערכת רגילה, קונסטרוקציה מוגבהת ופרגולה סולארית</t>
  </si>
  <si>
    <t>תום פתח את השיחה בצורה נעימה, בדק אם זה זמן נוח, והסביר את מטרת השיחה. במהלך השיחה עלה שהלקוח מברר לא רק עבור הבית שלו אלא גם עבור שני שכנים נוספים. תום התנהל מול סיטואציה מורכבת יחסית, שבה היה צורך לזהות כמה נכסים שונים דרך תצלום אוויר והכוונה של הלקוח, ושמר על סבלנות עד שהצליח להבין על אילו בתים מדובר. לאחר מכן הסביר ללקוח את מודל הליסינג, כולל מענק ראשוני, תשלום שנתי ואפשרות עתידית לרכישת המערכת. בנוסף ענה על שאלות כלליות לגבי טווחי המודל והסביר מתי נכון להעביר את ההמשך למומחה. בסיום תיאם שיחה עם שושן והגדיר שהלקוח ירכז קודם את המידע גם עבור השכנים האחרים.</t>
  </si>
  <si>
    <t>השיחה נוהלה בצורה טובה, סבלנית ומקצועית, במיוחד לאור העובדה שהלקוח לא בירר רק עבור נכס אחד. תום שמר על רצף, לא נלחץ מהמורכבות, והצליח לקדם את התהליך למרות שלקח זמן להבין את המבנים והבעלויות. החוזקה המרכזית כאן היא היכולת להחזיק שיחה מורכבת ולשמור על שירותיות. לצד זאת, במקרים שבהם יש כמה בתים וכמה בעלי עניין, חשוב לייצר מבנה ברור יותר של המידע כבר תוך כדי השיחה, כדי לצמצם בלבול ולחדד על מי בדיוק מדברים בכל שלב.</t>
  </si>
  <si>
    <t>שמירה על שיח ענייני גם כשהשיחה מורכבת וממושכת</t>
  </si>
  <si>
    <t>תום אמר שבגלל שהגג גדול כנראה שזה יהיה לכיוון הגבוה של הסקאלה.
הבעיה היא שזה כבר נשמע כמו הערכה כספית חלקית, למרות שהוא בעצמו אמר שהמומחה הוא זה שמדייק.
השיפור הוא להישאר יותר ניטרלי, למשל:
"הסכום המדויק תלוי בגודל ובמאפייני המערכת, והמומחה ידייק את זה"</t>
  </si>
  <si>
    <t>054-2100340</t>
  </si>
  <si>
    <t>052-8086825</t>
  </si>
  <si>
    <t>תום פתח את השיחה בצורה נעימה ובדק אם זה זמן נוח. במהלך השיחה עלה שהלקוח נמצא בשני צירים במקביל, בית אחד בבנייה עם צפי אכלוס בעוד כשנה, ונכס נוסף בראש פינה שכבר מוכן ורלוונטי יותר להתקדמות מיידית, כולל עניין בפרגולות סולאריות ופתרונות אסתטיים. תום זיהה את המורכבות, אסף פרטים על שני הנכסים, ניסה להבין את מבנה הצורך, עבד מול תצלום אוויר, והתאים את ההסבר לכך שהלקוח מחפש שיחה פרקטית ומדויקת. בסיום תום לא קבע פגישה סופית במקום, אלא בחר לבדוק מי הגורם הכי נכון לטפל בשני הצרכים יחד ולעדכן את הלקוח בוואטסאפ.</t>
  </si>
  <si>
    <t>זו שיחה טובה מול לקוח שמגיע ממוקד מטרה, רוצה תשובות קונקרטיות ומחזיק שני צרכים שונים באותו פרויקט. תום הפגין גמישות, הקשבה וכנות מקצועית, במיוחד בכך שלא ניסה לענות על שאלות טכניות מעבר למה שהוא יודע. החוזקה המרכזית כאן היא היכולת להבין שהלקוח לא מחפש רק "פגישה", אלא גורם אחד שידע להחזיק תמונה מלאה של שני הנכסים ושל התקציב המשותף. לצד זאת, בגלל המורכבות, היה מקום לייצר יותר סדר ומבנה תוך כדי השיחה, כדי לחדד מוקדם יותר מה בדיוק נבדק עכשיו ומה עובר להמשך טיפול.</t>
  </si>
  <si>
    <t>איתור צורך ברמה טובה, כולל זיהוי שני הצירים השונים של הפנייה</t>
  </si>
  <si>
    <t>לחדד מה הלקוח יקבל בשלב הבא
כשהלקוח ביקש הצעות קונקרטיות, היה נכון להסביר בצורה יותר ברורה מה תהיה מטרת השיחה הבאה ומה אפשר יהיה לקבל ממנה.</t>
  </si>
  <si>
    <t>כו</t>
  </si>
  <si>
    <t>תום פתח את השיחה בצורה נעימה, בדק אם זה זמן נוח, וזיהה מהר מאוד שמדובר בשני צרכים שונים, בית אחד שנמצא בבנייה עם צפי של כשנה, ונכס נוסף בראש פינה שכבר מוכן ורלוונטי יותר להתקדמות מיידית. במהלך השיחה הוא אסף פרטים על שני הנכסים, עבד מול תצלום אוויר, בירר את הצורך סביב פרגולות סולאריות ופתרונות אסתטיים, ושיקף ללקוח ביושר היכן הוא יודע לתת מענה והיכן נכון להעביר לגורם מקצועי יותר. בסיום הוא לא קבע סתם פגישה, אלא עצר כדי לבדוק מי הגורם המדויק שצריך להחזיק את שני הצרכים יחד ולעדכן את הלקוח בוואטסאפ.</t>
  </si>
  <si>
    <t>זו שיחה טובה מול לקוח שמגיע ממוקד, עם ציפייה לקבל מענה פרקטי ולא "עוד שיחת היכרות". תום הצליח להבין את התמונה הרחבה, לשמור על שיח חיובי, ולהגיב נכון לכך שהלקוח מחפש גוף אחד שירכז גם את הבית שבבנייה וגם את הבית הקיים. החוזקה המרכזית כאן היא היכולת לא למכור בכוח ולא להבטיח משהו לא מדויק, אלא לעצור במקום הנכון ולכוון את הלקוח למסלול המתאים.</t>
  </si>
  <si>
    <t>רגישות לנושא האסתטי ולכך שהוא שיקול מרכזי עבור הלקוח</t>
  </si>
  <si>
    <t>050-2522755</t>
  </si>
  <si>
    <t>דיוויד פתח את השיחה בצורה נעימה, חזר ללקוח בזמן סביר לאחר שניסיון קודם לא התאים, וביצע תשאול ראשוני מלא לגבי הבעלות, טופס 4, תלת פאזי, מיקום המונה וסוג הגג. במהלך השיחה הלקוח הכווין אותו דרך בית של שכן מוכר, ודיוויד עבד בצורה סבלנית מול תצלום האוויר עד שהצליח לזהות את הבית המדויק ואת השטחים הרלוונטיים, כולל הגג, גג החנייה והפרגולה. בהמשך דיוויד הציג בצורה מסודרת את מודל הרכישה והשכירות, נתן טווח מחירים כללי, התייחס גם לאפשרות של פאנלים גמישים על פרגולה, ובסיום תיאם שיחה עם מומחה</t>
  </si>
  <si>
    <t>זו שיחה טובה ומקצועית. דיוויד שמר על גישה שירותית, ידע לעבוד עם לקוח שמכוון אותו דרך נקודות ייחוס ולא דרך כתובת פשוטה, והצליח לקדם את השיחה למרות המורכבות. בנוסף, הוא שמר על איזון נכון בין מידע כללי לבין הפניה למומחה בנושאים שבהם נדרש דיוק גבוה יותר.</t>
  </si>
  <si>
    <t>עבודה טובה מול תצלום אוויר וזיהוי הבית בפועל</t>
  </si>
  <si>
    <t>לסגור בסוף בצורה יותר ברורה מה בדיוק יעבור למומחה
בסוף כן תואמה שיחה, אבל היה אפשר לחדד ללקוח בצורה יותר מסודרת מה הולך להיבדק.
למשל:
"המומחה יעבור איתך על הגג, גג החנייה והאפשרות של הפרגולה, וייתן לך תמונה יותר מדויקת לגבי מה רלוונטי ומה לא"
זה היה עושה את סוף השיחה יותר ברור ומסודר.</t>
  </si>
  <si>
    <t>דיוויד פתח את השיחה בצורה עניינית, ביצע תשאול ראשוני מלא לגבי סוג הנכס, בעלות, טופס 4, תלת פאזי, מיקום המונה וסוג הגג. לאחר מכן עבר לעבודה מול תצלום אוויר, זיהה שהבית שסומן תחילה אינו הבית הנכון, תיקן יחד עם הלקוח את הזיהוי, ואסף גם מידע על שטחים נוספים שהלקוח ציין כרלוונטיים בהמשך, כולל פאנל מבודד והרחבה מתוכננת. בהמשך נתן מסגרת כללית של מודל הרכישה, טווח מחירים והחזר השקעה, ולבסוף תיאם שיחה עם מומחה תוך התאמה לזמינות שהלקוח ביקש.</t>
  </si>
  <si>
    <t>דיויד שמר על קו עבודה ברור, לא נבהל כשעלה בלבול בזיהוי הבית, ותיקן את זה בצורה רגועה. בנוסף, הוא הצליח להחזיק גם את המידע על המצב הקיים וגם את התכנון העתידי של הלקוח, בלי לאבד את רצף השיחה. ניהול השיחה היה מקצועי, והמעבר לשלב הבא בוצע בצורה ברורה.</t>
  </si>
  <si>
    <t>קליטה טובה של פרטים שהלקוח הוסיף תוך כדי</t>
  </si>
  <si>
    <t>בשלב שבו התברר שהבית שסומן בתחילה אינו נכון, היה נכון לסכם מחדש בקצרה את הזיהוי הסופי כדי לוודא ששני הצדדים לגמרי מסונכרנים</t>
  </si>
  <si>
    <t>דיוויד פתח את השיחה בצורה רגועה למרות בעיית שמע בתחילת השיחה, ביצע תשאול ראשוני מלא, ואישר את נתוני הבסיס של הנכס. בהמשך זיהה שמדובר בגג מורכב עם כמה מפלסים וכיוונים, עבר עם הלקוח על תצלום האוויר בצורה סבלנית, ואפשר לו לפרט חלק חלק מה הוא רוצה לבדוק ומה עשוי להשתנות בהמשך. לאורך השיחה דיוויד שמר על קו נכון, נתן מסגרת כללית לגבי עלויות והחזר השקעה, והפנה את הלקוח לשיחה מקצועית מול מומחה כדי לרדת לרמת דיוק גבוהה יותר. בסיום תיאם שיחה לזמן שנוח ללקוח.</t>
  </si>
  <si>
    <t>זו שיחה טובה מול לקוח טכני, ששואל שאלות מפורטות ורוצה להבין גם את ההיתכנות וגם את החוקיות. דיוויד לא נלחץ מהמורכבות, לא ניסה לתת תשובות מוחלטות כשהמידע דורש בדיקה מקצועית, ובחר נכון להשאיר את ההכרעות המדויקות למומחה. החוזקה המרכזית כאן היא ניהול נכון של שיחה מורכבת בלי לאבד את השליטה בשיח</t>
  </si>
  <si>
    <t>שמירה על גבולות תפקיד נכונים והפניה למומחה כשנדרש דיוק מקצועי</t>
  </si>
  <si>
    <t>כשהלקוח נכנס לרמת פירוט גבוהה מאוד על מבנה הגג, כדאי למסגר מוקדם יותר מה נבדק בשיחה הנוכחית ומה עובר למומחה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</si>
</sst>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54">
    <font>
      <sz val="11"/>
      <color theme="1"/>
      <name val="Arial"/>
      <family val="2"/>
      <scheme val="minor"/>
    </font>
    <font>
      <sz val="10"/>
      <name val="Arial"/>
      <family val="2"/>
    </font>
    <font>
      <sz val="12"/>
      <name val="David"/>
      <family val="2"/>
      <charset val="177"/>
    </font>
    <font>
      <b/>
      <sz val="12"/>
      <name val="David"/>
      <family val="2"/>
      <charset val="177"/>
    </font>
    <font>
      <b/>
      <sz val="12"/>
      <name val="Arial"/>
      <family val="2"/>
    </font>
    <font>
      <b/>
      <u/>
      <sz val="12"/>
      <name val="David"/>
      <family val="2"/>
      <charset val="177"/>
    </font>
    <font>
      <b/>
      <sz val="11"/>
      <name val="David"/>
      <family val="2"/>
      <charset val="177"/>
    </font>
    <font>
      <sz val="11"/>
      <name val="David"/>
      <family val="2"/>
      <charset val="177"/>
    </font>
    <font>
      <sz val="14"/>
      <name val="David"/>
      <family val="2"/>
      <charset val="177"/>
    </font>
    <font>
      <b/>
      <sz val="8"/>
      <color indexed="81"/>
      <name val="Tahoma"/>
      <family val="2"/>
    </font>
    <font>
      <sz val="11"/>
      <color theme="1"/>
      <name val="Arial"/>
      <family val="2"/>
      <scheme val="minor"/>
    </font>
    <font>
      <sz val="11"/>
      <color theme="0"/>
      <name val="Arial"/>
      <family val="2"/>
      <scheme val="minor"/>
    </font>
    <font>
      <b/>
      <sz val="11"/>
      <color theme="1"/>
      <name val="Arial"/>
      <family val="2"/>
      <scheme val="minor"/>
    </font>
    <font>
      <sz val="11"/>
      <color rgb="FFFF0000"/>
      <name val="Arial"/>
      <family val="2"/>
      <scheme val="minor"/>
    </font>
    <font>
      <b/>
      <sz val="12"/>
      <color theme="3" tint="0.79998168889431442"/>
      <name val="David"/>
      <family val="2"/>
      <charset val="177"/>
    </font>
    <font>
      <sz val="11"/>
      <name val="Arial"/>
      <family val="2"/>
      <scheme val="minor"/>
    </font>
    <font>
      <b/>
      <sz val="12"/>
      <color theme="1"/>
      <name val="David"/>
      <family val="2"/>
      <charset val="177"/>
    </font>
    <font>
      <sz val="10"/>
      <color theme="1"/>
      <name val="Arial"/>
      <family val="2"/>
    </font>
    <font>
      <sz val="10"/>
      <name val="Arial"/>
      <family val="2"/>
      <scheme val="minor"/>
    </font>
    <font>
      <sz val="10"/>
      <color theme="1"/>
      <name val="Arial"/>
      <family val="2"/>
      <charset val="177"/>
      <scheme val="minor"/>
    </font>
    <font>
      <sz val="11"/>
      <color rgb="FF000000"/>
      <name val="Arial"/>
      <family val="2"/>
      <scheme val="minor"/>
    </font>
    <font>
      <sz val="10"/>
      <color theme="1"/>
      <name val="Arial"/>
      <family val="2"/>
      <scheme val="minor"/>
    </font>
    <font>
      <sz val="10"/>
      <color rgb="FF000000"/>
      <name val="Arial"/>
      <family val="2"/>
      <scheme val="minor"/>
    </font>
    <font>
      <b/>
      <sz val="14"/>
      <color rgb="FF0000FF"/>
      <name val="Arial"/>
      <family val="2"/>
      <scheme val="minor"/>
    </font>
    <font>
      <sz val="14"/>
      <color indexed="9"/>
      <name val="Arial"/>
      <family val="2"/>
      <scheme val="minor"/>
    </font>
    <font>
      <sz val="14"/>
      <color theme="1"/>
      <name val="Arial"/>
      <family val="2"/>
      <scheme val="minor"/>
    </font>
    <font>
      <sz val="14"/>
      <name val="Arial"/>
      <family val="2"/>
      <scheme val="minor"/>
    </font>
    <font>
      <b/>
      <sz val="14"/>
      <name val="Arial"/>
      <family val="2"/>
      <scheme val="minor"/>
    </font>
    <font>
      <b/>
      <sz val="14"/>
      <color theme="1"/>
      <name val="Arial"/>
      <family val="2"/>
      <scheme val="minor"/>
    </font>
    <font>
      <b/>
      <sz val="14"/>
      <color theme="3" tint="0.79998168889431442"/>
      <name val="Arial"/>
      <family val="2"/>
      <scheme val="minor"/>
    </font>
    <font>
      <sz val="14"/>
      <color rgb="FFFF0000"/>
      <name val="Arial"/>
      <family val="2"/>
      <scheme val="minor"/>
    </font>
    <font>
      <b/>
      <sz val="11"/>
      <name val="Arial"/>
      <family val="2"/>
      <scheme val="minor"/>
    </font>
    <font>
      <sz val="14"/>
      <color indexed="10"/>
      <name val="Arial"/>
      <family val="2"/>
      <scheme val="minor"/>
    </font>
    <font>
      <sz val="14"/>
      <color theme="1"/>
      <name val="Arial"/>
      <family val="2"/>
    </font>
    <font>
      <sz val="14"/>
      <color theme="1"/>
      <name val="David"/>
      <family val="2"/>
      <charset val="177"/>
    </font>
    <font>
      <b/>
      <u/>
      <sz val="14"/>
      <name val="Arial"/>
      <family val="2"/>
      <scheme val="minor"/>
    </font>
    <font>
      <sz val="20"/>
      <name val="Arial"/>
      <family val="2"/>
      <scheme val="minor"/>
    </font>
    <font>
      <sz val="8"/>
      <color rgb="FF000000"/>
      <name val="Arial"/>
      <family val="2"/>
      <scheme val="minor"/>
    </font>
    <font>
      <sz val="11"/>
      <color rgb="FF000000"/>
      <name val="Arial"/>
      <family val="2"/>
    </font>
    <font>
      <sz val="8"/>
      <color rgb="FF000000"/>
      <name val="Arial"/>
      <family val="2"/>
    </font>
    <font>
      <sz val="12"/>
      <color rgb="FFFF0000"/>
      <name val="David"/>
      <family val="2"/>
      <charset val="177"/>
    </font>
    <font>
      <sz val="8"/>
      <name val="Arial"/>
      <family val="2"/>
      <scheme val="minor"/>
    </font>
    <font>
      <b/>
      <sz val="12"/>
      <name val="Arial"/>
      <family val="2"/>
      <scheme val="minor"/>
    </font>
    <font>
      <sz val="12"/>
      <name val="Arial"/>
      <family val="2"/>
      <scheme val="minor"/>
    </font>
    <font>
      <b/>
      <sz val="12"/>
      <color theme="1"/>
      <name val="Arial"/>
      <family val="2"/>
      <scheme val="minor"/>
    </font>
    <font>
      <b/>
      <u/>
      <sz val="12"/>
      <name val="Arial"/>
      <family val="2"/>
      <scheme val="minor"/>
    </font>
    <font>
      <sz val="11"/>
      <color rgb="FF171717"/>
      <name val="Arial"/>
      <family val="2"/>
      <scheme val="minor"/>
    </font>
    <font>
      <b/>
      <u/>
      <sz val="11"/>
      <name val="Arial"/>
      <family val="2"/>
      <scheme val="minor"/>
    </font>
    <font>
      <b/>
      <sz val="11"/>
      <color rgb="FF0070C0"/>
      <name val="Arial"/>
      <family val="2"/>
      <scheme val="minor"/>
    </font>
    <font>
      <b/>
      <sz val="11"/>
      <color theme="3"/>
      <name val="Arial"/>
      <family val="2"/>
      <scheme val="minor"/>
    </font>
    <font>
      <sz val="11"/>
      <color rgb="FF006100"/>
      <name val="Arial"/>
      <family val="2"/>
      <scheme val="minor"/>
    </font>
    <font>
      <b/>
      <sz val="12"/>
      <color theme="3"/>
      <name val="Arial"/>
      <family val="2"/>
      <scheme val="minor"/>
    </font>
    <font>
      <sz val="10"/>
      <color rgb="FF666666"/>
      <name val="Public Sans"/>
    </font>
    <font>
      <sz val="10"/>
      <name val="Public Sans"/>
    </font>
  </fonts>
  <fills count="13">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F1F1F1"/>
        <bgColor indexed="64"/>
      </patternFill>
    </fill>
    <fill>
      <patternFill patternType="solid">
        <fgColor rgb="FFC6EFCE"/>
      </patternFill>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rgb="FFCACACA"/>
      </right>
      <top style="medium">
        <color rgb="FFCACACA"/>
      </top>
      <bottom style="medium">
        <color rgb="FFCACACA"/>
      </bottom>
      <diagonal/>
    </border>
  </borders>
  <cellStyleXfs count="5">
    <xf numFmtId="0" fontId="0" fillId="0" borderId="0"/>
    <xf numFmtId="0" fontId="10" fillId="0" borderId="0"/>
    <xf numFmtId="0" fontId="1" fillId="0" borderId="0"/>
    <xf numFmtId="9" fontId="10" fillId="0" borderId="0" applyFont="0" applyFill="0" applyBorder="0" applyAlignment="0" applyProtection="0"/>
    <xf numFmtId="0" fontId="50" fillId="11" borderId="0" applyNumberFormat="0" applyBorder="0" applyAlignment="0" applyProtection="0"/>
  </cellStyleXfs>
  <cellXfs count="303">
    <xf numFmtId="0" fontId="0" fillId="0" borderId="0" xfId="0"/>
    <xf numFmtId="1" fontId="14" fillId="2" borderId="1" xfId="2" applyNumberFormat="1" applyFont="1" applyFill="1" applyBorder="1" applyAlignment="1" applyProtection="1">
      <alignment horizontal="center"/>
      <protection locked="0"/>
    </xf>
    <xf numFmtId="0" fontId="3" fillId="0" borderId="1" xfId="2" applyFont="1" applyBorder="1" applyAlignment="1" applyProtection="1">
      <alignment horizontal="center"/>
      <protection locked="0"/>
    </xf>
    <xf numFmtId="0" fontId="14" fillId="2" borderId="1" xfId="2" applyFont="1" applyFill="1" applyBorder="1" applyAlignment="1" applyProtection="1">
      <alignment horizontal="center"/>
      <protection locked="0"/>
    </xf>
    <xf numFmtId="0" fontId="3" fillId="0" borderId="1" xfId="2" applyFont="1" applyBorder="1" applyAlignment="1">
      <alignment horizontal="center" vertical="center"/>
    </xf>
    <xf numFmtId="0" fontId="14" fillId="2" borderId="1" xfId="2" applyFont="1" applyFill="1" applyBorder="1" applyAlignment="1" applyProtection="1">
      <alignment horizontal="center" vertical="center"/>
      <protection locked="0"/>
    </xf>
    <xf numFmtId="0" fontId="2" fillId="0" borderId="1" xfId="0" applyFont="1" applyBorder="1" applyAlignment="1" applyProtection="1">
      <alignment horizontal="center" vertical="center" readingOrder="2"/>
      <protection locked="0"/>
    </xf>
    <xf numFmtId="0" fontId="3" fillId="0" borderId="1" xfId="0" applyFont="1" applyBorder="1" applyAlignment="1">
      <alignment horizontal="center"/>
    </xf>
    <xf numFmtId="0" fontId="3" fillId="0" borderId="1" xfId="2" applyFont="1" applyBorder="1" applyAlignment="1">
      <alignment horizontal="center"/>
    </xf>
    <xf numFmtId="0" fontId="3" fillId="2" borderId="1" xfId="2" applyFont="1" applyFill="1" applyBorder="1" applyAlignment="1" applyProtection="1">
      <alignment horizontal="center"/>
      <protection locked="0"/>
    </xf>
    <xf numFmtId="0" fontId="3" fillId="3" borderId="1" xfId="2" applyFont="1" applyFill="1" applyBorder="1" applyAlignment="1" applyProtection="1">
      <alignment horizontal="center"/>
      <protection locked="0"/>
    </xf>
    <xf numFmtId="0" fontId="2" fillId="0" borderId="1" xfId="2" applyFont="1" applyBorder="1" applyAlignment="1">
      <alignment horizontal="center" vertical="center"/>
    </xf>
    <xf numFmtId="0" fontId="2" fillId="2" borderId="1" xfId="2" applyFont="1" applyFill="1" applyBorder="1" applyAlignment="1">
      <alignment horizontal="left" vertical="center"/>
    </xf>
    <xf numFmtId="0" fontId="15" fillId="0" borderId="1" xfId="2" applyFont="1" applyBorder="1" applyAlignment="1">
      <alignment horizontal="right" vertical="center"/>
    </xf>
    <xf numFmtId="0" fontId="0" fillId="0" borderId="1" xfId="0" applyBorder="1"/>
    <xf numFmtId="0" fontId="11" fillId="0" borderId="0" xfId="0" applyFont="1"/>
    <xf numFmtId="0" fontId="6" fillId="0" borderId="1" xfId="2" applyFont="1" applyBorder="1" applyAlignment="1">
      <alignment horizontal="center" vertical="center"/>
    </xf>
    <xf numFmtId="0" fontId="6" fillId="0" borderId="1" xfId="2" applyFont="1" applyBorder="1" applyAlignment="1" applyProtection="1">
      <alignment horizontal="center"/>
      <protection locked="0"/>
    </xf>
    <xf numFmtId="0" fontId="15" fillId="0" borderId="0" xfId="0" applyFont="1"/>
    <xf numFmtId="0" fontId="3" fillId="2" borderId="1" xfId="2" applyFont="1" applyFill="1" applyBorder="1" applyAlignment="1">
      <alignment horizontal="center"/>
    </xf>
    <xf numFmtId="0" fontId="16" fillId="2" borderId="1" xfId="2" applyFont="1" applyFill="1" applyBorder="1" applyAlignment="1">
      <alignment horizontal="center"/>
    </xf>
    <xf numFmtId="0" fontId="15" fillId="0" borderId="1" xfId="2" quotePrefix="1" applyFont="1" applyBorder="1" applyAlignment="1">
      <alignment vertical="center"/>
    </xf>
    <xf numFmtId="0" fontId="10" fillId="0" borderId="1" xfId="1" quotePrefix="1" applyBorder="1" applyAlignment="1">
      <alignment horizontal="right"/>
    </xf>
    <xf numFmtId="0" fontId="3" fillId="3" borderId="1" xfId="2" applyFont="1" applyFill="1" applyBorder="1" applyAlignment="1">
      <alignment horizontal="center" vertical="center"/>
    </xf>
    <xf numFmtId="0" fontId="1" fillId="0" borderId="1" xfId="0" applyFont="1" applyBorder="1" applyAlignment="1">
      <alignment horizontal="right"/>
    </xf>
    <xf numFmtId="0" fontId="17" fillId="3" borderId="1" xfId="0" applyFont="1" applyFill="1" applyBorder="1"/>
    <xf numFmtId="0" fontId="18" fillId="0" borderId="1" xfId="2" applyFont="1" applyBorder="1" applyAlignment="1">
      <alignment horizontal="center" vertical="top"/>
    </xf>
    <xf numFmtId="0" fontId="19" fillId="3" borderId="1" xfId="0" applyFont="1" applyFill="1" applyBorder="1" applyAlignment="1">
      <alignment horizontal="center" vertical="top"/>
    </xf>
    <xf numFmtId="0" fontId="17" fillId="0" borderId="0" xfId="0" applyFont="1"/>
    <xf numFmtId="0" fontId="2" fillId="2" borderId="1" xfId="2" applyFont="1" applyFill="1" applyBorder="1" applyAlignment="1">
      <alignment horizontal="right" vertical="center"/>
    </xf>
    <xf numFmtId="0" fontId="20" fillId="0" borderId="0" xfId="0" applyFont="1" applyAlignment="1">
      <alignment horizontal="center"/>
    </xf>
    <xf numFmtId="0" fontId="0" fillId="0" borderId="1" xfId="0" applyBorder="1" applyAlignment="1">
      <alignment wrapText="1"/>
    </xf>
    <xf numFmtId="0" fontId="0" fillId="0" borderId="1" xfId="0" applyBorder="1" applyAlignment="1">
      <alignment horizontal="center"/>
    </xf>
    <xf numFmtId="0" fontId="20" fillId="3" borderId="1" xfId="0" applyFont="1" applyFill="1" applyBorder="1" applyAlignment="1">
      <alignment horizontal="center"/>
    </xf>
    <xf numFmtId="0" fontId="10" fillId="0" borderId="1" xfId="1" quotePrefix="1" applyBorder="1" applyAlignment="1">
      <alignment horizontal="right" readingOrder="2"/>
    </xf>
    <xf numFmtId="0" fontId="12" fillId="4" borderId="1" xfId="0" applyFont="1" applyFill="1" applyBorder="1" applyAlignment="1">
      <alignment horizontal="center" wrapText="1"/>
    </xf>
    <xf numFmtId="0" fontId="12" fillId="4" borderId="2" xfId="0" applyFont="1" applyFill="1" applyBorder="1" applyAlignment="1">
      <alignment horizontal="center" wrapText="1"/>
    </xf>
    <xf numFmtId="0" fontId="12" fillId="4" borderId="3" xfId="0" applyFont="1" applyFill="1" applyBorder="1" applyAlignment="1">
      <alignment horizontal="center" wrapText="1"/>
    </xf>
    <xf numFmtId="0" fontId="0" fillId="0" borderId="0" xfId="0" applyAlignment="1">
      <alignment wrapText="1"/>
    </xf>
    <xf numFmtId="0" fontId="21" fillId="0" borderId="11" xfId="0" applyFont="1" applyBorder="1" applyAlignment="1">
      <alignment wrapText="1"/>
    </xf>
    <xf numFmtId="10" fontId="21" fillId="0" borderId="11" xfId="0" applyNumberFormat="1" applyFont="1" applyBorder="1" applyAlignment="1">
      <alignment wrapText="1"/>
    </xf>
    <xf numFmtId="0" fontId="21" fillId="3" borderId="11" xfId="0" applyFont="1" applyFill="1" applyBorder="1" applyAlignment="1">
      <alignment wrapText="1"/>
    </xf>
    <xf numFmtId="21" fontId="21" fillId="0" borderId="11" xfId="0" applyNumberFormat="1" applyFont="1" applyBorder="1" applyAlignment="1">
      <alignment wrapText="1"/>
    </xf>
    <xf numFmtId="46" fontId="21" fillId="0" borderId="11" xfId="0" applyNumberFormat="1" applyFont="1" applyBorder="1" applyAlignment="1">
      <alignment wrapText="1"/>
    </xf>
    <xf numFmtId="46" fontId="21" fillId="3" borderId="11" xfId="0" applyNumberFormat="1" applyFont="1" applyFill="1" applyBorder="1" applyAlignment="1">
      <alignment wrapText="1"/>
    </xf>
    <xf numFmtId="0" fontId="21" fillId="0" borderId="11" xfId="0" applyFont="1" applyBorder="1"/>
    <xf numFmtId="21" fontId="21" fillId="0" borderId="11" xfId="0" applyNumberFormat="1" applyFont="1" applyBorder="1"/>
    <xf numFmtId="1" fontId="21" fillId="0" borderId="11" xfId="0" applyNumberFormat="1" applyFont="1" applyBorder="1"/>
    <xf numFmtId="0" fontId="0" fillId="5" borderId="1" xfId="0" applyFill="1" applyBorder="1" applyAlignment="1">
      <alignment horizontal="center"/>
    </xf>
    <xf numFmtId="0" fontId="21" fillId="0" borderId="12" xfId="0" applyFont="1" applyBorder="1"/>
    <xf numFmtId="2" fontId="21" fillId="0" borderId="11" xfId="0" applyNumberFormat="1" applyFont="1" applyBorder="1"/>
    <xf numFmtId="21" fontId="0" fillId="0" borderId="0" xfId="0" applyNumberFormat="1"/>
    <xf numFmtId="0" fontId="12" fillId="4" borderId="1" xfId="0" applyFont="1" applyFill="1" applyBorder="1"/>
    <xf numFmtId="0" fontId="12" fillId="6" borderId="1" xfId="0" applyFont="1" applyFill="1" applyBorder="1" applyAlignment="1">
      <alignment horizontal="center"/>
    </xf>
    <xf numFmtId="0" fontId="0" fillId="3" borderId="1" xfId="0" applyFill="1" applyBorder="1"/>
    <xf numFmtId="9" fontId="0" fillId="3" borderId="1" xfId="0" applyNumberFormat="1" applyFill="1" applyBorder="1"/>
    <xf numFmtId="164" fontId="10" fillId="3" borderId="1" xfId="1" applyNumberFormat="1" applyFill="1" applyBorder="1"/>
    <xf numFmtId="0" fontId="0" fillId="4" borderId="1" xfId="0" applyFill="1" applyBorder="1"/>
    <xf numFmtId="9" fontId="10" fillId="4" borderId="1" xfId="3" applyFont="1" applyFill="1" applyBorder="1" applyAlignment="1"/>
    <xf numFmtId="0" fontId="15" fillId="0" borderId="1" xfId="2" applyFont="1" applyBorder="1" applyAlignment="1">
      <alignment horizontal="right" vertical="center" wrapText="1"/>
    </xf>
    <xf numFmtId="0" fontId="10" fillId="0" borderId="1" xfId="1" quotePrefix="1" applyBorder="1" applyAlignment="1">
      <alignment horizontal="right" wrapText="1" readingOrder="2"/>
    </xf>
    <xf numFmtId="0" fontId="15" fillId="0" borderId="1" xfId="2" quotePrefix="1" applyFont="1" applyBorder="1" applyAlignment="1">
      <alignment vertical="center" wrapText="1"/>
    </xf>
    <xf numFmtId="0" fontId="10" fillId="0" borderId="1" xfId="1" quotePrefix="1" applyBorder="1" applyAlignment="1">
      <alignment horizontal="right" wrapText="1"/>
    </xf>
    <xf numFmtId="0" fontId="1" fillId="0" borderId="1" xfId="0" applyFont="1" applyBorder="1" applyAlignment="1">
      <alignment horizontal="right" wrapText="1"/>
    </xf>
    <xf numFmtId="0" fontId="17" fillId="3" borderId="1" xfId="0" applyFont="1" applyFill="1" applyBorder="1" applyAlignment="1">
      <alignment wrapText="1"/>
    </xf>
    <xf numFmtId="0" fontId="17" fillId="0" borderId="0" xfId="0" applyFont="1" applyAlignment="1">
      <alignment wrapText="1"/>
    </xf>
    <xf numFmtId="0" fontId="20" fillId="0" borderId="1" xfId="0" applyFont="1" applyBorder="1" applyAlignment="1">
      <alignment horizontal="center"/>
    </xf>
    <xf numFmtId="0" fontId="2" fillId="2" borderId="1" xfId="2" applyFont="1" applyFill="1" applyBorder="1" applyAlignment="1">
      <alignment horizontal="right" vertical="center" wrapText="1"/>
    </xf>
    <xf numFmtId="0" fontId="3" fillId="0" borderId="1" xfId="0" applyFont="1" applyBorder="1" applyAlignment="1">
      <alignment horizontal="center" vertical="center"/>
    </xf>
    <xf numFmtId="0" fontId="21" fillId="3" borderId="11" xfId="0" applyFont="1" applyFill="1" applyBorder="1"/>
    <xf numFmtId="10" fontId="21" fillId="3" borderId="11" xfId="0" applyNumberFormat="1" applyFont="1" applyFill="1" applyBorder="1" applyAlignment="1">
      <alignment wrapText="1"/>
    </xf>
    <xf numFmtId="21" fontId="21" fillId="3" borderId="11" xfId="0" applyNumberFormat="1" applyFont="1" applyFill="1" applyBorder="1" applyAlignment="1">
      <alignment wrapText="1"/>
    </xf>
    <xf numFmtId="21" fontId="21" fillId="3" borderId="11" xfId="0" applyNumberFormat="1" applyFont="1" applyFill="1" applyBorder="1"/>
    <xf numFmtId="1" fontId="21" fillId="3" borderId="11" xfId="0" applyNumberFormat="1" applyFont="1" applyFill="1" applyBorder="1"/>
    <xf numFmtId="0" fontId="0" fillId="3" borderId="0" xfId="0" applyFill="1"/>
    <xf numFmtId="0" fontId="0" fillId="5" borderId="4" xfId="0" applyFill="1" applyBorder="1" applyAlignment="1">
      <alignment horizontal="center"/>
    </xf>
    <xf numFmtId="0" fontId="0" fillId="7" borderId="1" xfId="0" applyFill="1" applyBorder="1" applyAlignment="1">
      <alignment horizontal="center"/>
    </xf>
    <xf numFmtId="0" fontId="22" fillId="0" borderId="1" xfId="0" applyFont="1" applyBorder="1" applyAlignment="1">
      <alignment horizontal="center"/>
    </xf>
    <xf numFmtId="10" fontId="21" fillId="0" borderId="0" xfId="0" applyNumberFormat="1" applyFont="1" applyAlignment="1">
      <alignment wrapText="1"/>
    </xf>
    <xf numFmtId="0" fontId="21" fillId="3" borderId="0" xfId="0" applyFont="1" applyFill="1" applyAlignment="1">
      <alignment wrapText="1"/>
    </xf>
    <xf numFmtId="0" fontId="21" fillId="0" borderId="0" xfId="0" applyFont="1" applyAlignment="1">
      <alignment wrapText="1"/>
    </xf>
    <xf numFmtId="21" fontId="21" fillId="0" borderId="0" xfId="0" applyNumberFormat="1" applyFont="1" applyAlignment="1">
      <alignment wrapText="1"/>
    </xf>
    <xf numFmtId="21" fontId="21" fillId="0" borderId="0" xfId="0" applyNumberFormat="1" applyFont="1"/>
    <xf numFmtId="46" fontId="21" fillId="0" borderId="0" xfId="0" applyNumberFormat="1" applyFont="1" applyAlignment="1">
      <alignment wrapText="1"/>
    </xf>
    <xf numFmtId="46" fontId="21" fillId="3" borderId="0" xfId="0" applyNumberFormat="1" applyFont="1" applyFill="1" applyAlignment="1">
      <alignment wrapText="1"/>
    </xf>
    <xf numFmtId="2" fontId="21" fillId="0" borderId="0" xfId="0" applyNumberFormat="1" applyFont="1"/>
    <xf numFmtId="0" fontId="21" fillId="0" borderId="13" xfId="0" applyFont="1" applyBorder="1"/>
    <xf numFmtId="0" fontId="0" fillId="3" borderId="1" xfId="0" applyFill="1" applyBorder="1" applyAlignment="1">
      <alignment horizontal="center"/>
    </xf>
    <xf numFmtId="0" fontId="23" fillId="0" borderId="5" xfId="2" applyFont="1" applyBorder="1" applyAlignment="1">
      <alignment horizontal="center" vertical="center" wrapText="1"/>
    </xf>
    <xf numFmtId="0" fontId="23" fillId="0" borderId="1" xfId="2" applyFont="1" applyBorder="1" applyAlignment="1">
      <alignment vertical="center"/>
    </xf>
    <xf numFmtId="0" fontId="23" fillId="0" borderId="6" xfId="2" applyFont="1" applyBorder="1" applyAlignment="1">
      <alignment vertical="center"/>
    </xf>
    <xf numFmtId="0" fontId="24" fillId="0" borderId="0" xfId="0" applyFont="1" applyAlignment="1">
      <alignment horizontal="center"/>
    </xf>
    <xf numFmtId="0" fontId="25" fillId="0" borderId="0" xfId="0" applyFont="1" applyAlignment="1">
      <alignment horizontal="center"/>
    </xf>
    <xf numFmtId="0" fontId="0" fillId="3" borderId="0" xfId="0" applyFill="1" applyAlignment="1">
      <alignment horizontal="center"/>
    </xf>
    <xf numFmtId="2" fontId="15" fillId="0" borderId="0" xfId="2" applyNumberFormat="1" applyFont="1" applyAlignment="1">
      <alignment horizontal="center"/>
    </xf>
    <xf numFmtId="0" fontId="15" fillId="0" borderId="0" xfId="2" applyFont="1"/>
    <xf numFmtId="0" fontId="23" fillId="0" borderId="7" xfId="2" applyFont="1" applyBorder="1" applyAlignment="1">
      <alignment vertical="center"/>
    </xf>
    <xf numFmtId="0" fontId="26" fillId="0" borderId="1" xfId="2" applyFont="1" applyBorder="1" applyAlignment="1">
      <alignment horizontal="center"/>
    </xf>
    <xf numFmtId="0" fontId="15" fillId="3" borderId="0" xfId="2" applyFont="1" applyFill="1" applyAlignment="1">
      <alignment horizontal="center"/>
    </xf>
    <xf numFmtId="0" fontId="27" fillId="2" borderId="1" xfId="2" applyFont="1" applyFill="1" applyBorder="1" applyAlignment="1">
      <alignment vertical="center"/>
    </xf>
    <xf numFmtId="1" fontId="27" fillId="0" borderId="1" xfId="3" applyNumberFormat="1" applyFont="1" applyFill="1" applyBorder="1" applyAlignment="1" applyProtection="1">
      <alignment horizontal="center" vertical="center"/>
    </xf>
    <xf numFmtId="0" fontId="27" fillId="2" borderId="1" xfId="2" applyFont="1" applyFill="1" applyBorder="1" applyAlignment="1">
      <alignment horizontal="center"/>
    </xf>
    <xf numFmtId="0" fontId="27" fillId="2" borderId="1" xfId="2" applyFont="1" applyFill="1" applyBorder="1"/>
    <xf numFmtId="0" fontId="27" fillId="0" borderId="1" xfId="2" applyFont="1" applyBorder="1" applyAlignment="1">
      <alignment horizontal="center"/>
    </xf>
    <xf numFmtId="0" fontId="28" fillId="2" borderId="1" xfId="2" applyFont="1" applyFill="1" applyBorder="1" applyAlignment="1">
      <alignment horizontal="center"/>
    </xf>
    <xf numFmtId="1" fontId="29" fillId="2" borderId="1" xfId="2" applyNumberFormat="1" applyFont="1" applyFill="1" applyBorder="1" applyAlignment="1" applyProtection="1">
      <alignment horizontal="center"/>
      <protection locked="0"/>
    </xf>
    <xf numFmtId="0" fontId="26" fillId="0" borderId="0" xfId="2" applyFont="1" applyAlignment="1">
      <alignment horizontal="center"/>
    </xf>
    <xf numFmtId="0" fontId="27" fillId="0" borderId="1" xfId="2" applyFont="1" applyBorder="1" applyAlignment="1" applyProtection="1">
      <alignment horizontal="center"/>
      <protection locked="0"/>
    </xf>
    <xf numFmtId="0" fontId="29" fillId="2" borderId="1" xfId="2" applyFont="1" applyFill="1" applyBorder="1" applyAlignment="1" applyProtection="1">
      <alignment horizontal="center"/>
      <protection locked="0"/>
    </xf>
    <xf numFmtId="0" fontId="30" fillId="0" borderId="0" xfId="2" applyFont="1" applyAlignment="1" applyProtection="1">
      <alignment horizontal="center"/>
      <protection locked="0"/>
    </xf>
    <xf numFmtId="0" fontId="26" fillId="0" borderId="0" xfId="2" applyFont="1" applyAlignment="1" applyProtection="1">
      <alignment horizontal="center"/>
      <protection locked="0"/>
    </xf>
    <xf numFmtId="0" fontId="15" fillId="3" borderId="0" xfId="2" applyFont="1" applyFill="1" applyAlignment="1" applyProtection="1">
      <alignment horizontal="center"/>
      <protection locked="0"/>
    </xf>
    <xf numFmtId="0" fontId="15" fillId="3" borderId="0" xfId="0" applyFont="1" applyFill="1" applyAlignment="1">
      <alignment horizontal="center"/>
    </xf>
    <xf numFmtId="0" fontId="0" fillId="0" borderId="0" xfId="0" applyAlignment="1">
      <alignment vertical="center"/>
    </xf>
    <xf numFmtId="0" fontId="29" fillId="2" borderId="1" xfId="2" applyFont="1" applyFill="1" applyBorder="1" applyAlignment="1" applyProtection="1">
      <alignment horizontal="center" vertical="center"/>
      <protection locked="0"/>
    </xf>
    <xf numFmtId="0" fontId="26" fillId="0" borderId="0" xfId="2" applyFont="1" applyAlignment="1" applyProtection="1">
      <alignment horizontal="center" vertical="center"/>
      <protection locked="0"/>
    </xf>
    <xf numFmtId="0" fontId="30" fillId="0" borderId="0" xfId="2" applyFont="1" applyAlignment="1" applyProtection="1">
      <alignment horizontal="center" vertical="center"/>
      <protection locked="0"/>
    </xf>
    <xf numFmtId="0" fontId="15" fillId="3" borderId="0" xfId="2" applyFont="1" applyFill="1" applyAlignment="1" applyProtection="1">
      <alignment horizontal="center" vertical="center"/>
      <protection locked="0"/>
    </xf>
    <xf numFmtId="0" fontId="0" fillId="3" borderId="0" xfId="0" applyFill="1" applyAlignment="1">
      <alignment horizontal="center" vertical="center"/>
    </xf>
    <xf numFmtId="0" fontId="15" fillId="3" borderId="0" xfId="0" applyFont="1" applyFill="1" applyAlignment="1">
      <alignment horizontal="center" vertical="center"/>
    </xf>
    <xf numFmtId="2" fontId="13" fillId="0" borderId="0" xfId="2" applyNumberFormat="1" applyFont="1" applyAlignment="1">
      <alignment horizontal="center" vertical="center"/>
    </xf>
    <xf numFmtId="0" fontId="28" fillId="2" borderId="1" xfId="2" applyFont="1" applyFill="1" applyBorder="1"/>
    <xf numFmtId="0" fontId="29" fillId="2" borderId="1" xfId="2" applyFont="1" applyFill="1" applyBorder="1" applyAlignment="1">
      <alignment horizontal="center"/>
    </xf>
    <xf numFmtId="0" fontId="26" fillId="3" borderId="0" xfId="2" applyFont="1" applyFill="1" applyAlignment="1">
      <alignment horizontal="center"/>
    </xf>
    <xf numFmtId="0" fontId="31" fillId="3" borderId="0" xfId="2" applyFont="1" applyFill="1" applyAlignment="1">
      <alignment horizontal="center"/>
    </xf>
    <xf numFmtId="2" fontId="15" fillId="3" borderId="0" xfId="2" applyNumberFormat="1" applyFont="1" applyFill="1" applyAlignment="1">
      <alignment horizontal="center"/>
    </xf>
    <xf numFmtId="0" fontId="15" fillId="3" borderId="0" xfId="2" applyFont="1" applyFill="1"/>
    <xf numFmtId="0" fontId="27" fillId="0" borderId="1" xfId="0" applyFont="1" applyBorder="1" applyAlignment="1">
      <alignment horizontal="center"/>
    </xf>
    <xf numFmtId="0" fontId="27" fillId="3" borderId="0" xfId="0" applyFont="1" applyFill="1" applyAlignment="1">
      <alignment horizontal="center"/>
    </xf>
    <xf numFmtId="0" fontId="12" fillId="3" borderId="0" xfId="0" applyFont="1" applyFill="1" applyAlignment="1">
      <alignment horizontal="center"/>
    </xf>
    <xf numFmtId="0" fontId="28" fillId="2" borderId="1" xfId="2" applyFont="1" applyFill="1" applyBorder="1" applyAlignment="1">
      <alignment wrapText="1"/>
    </xf>
    <xf numFmtId="0" fontId="32" fillId="3" borderId="0" xfId="2" applyFont="1" applyFill="1" applyAlignment="1">
      <alignment horizontal="center"/>
    </xf>
    <xf numFmtId="0" fontId="27" fillId="3" borderId="1" xfId="2" applyFont="1" applyFill="1" applyBorder="1" applyAlignment="1">
      <alignment horizontal="center"/>
    </xf>
    <xf numFmtId="0" fontId="27" fillId="2" borderId="1" xfId="2" applyFont="1" applyFill="1" applyBorder="1" applyAlignment="1">
      <alignment wrapText="1"/>
    </xf>
    <xf numFmtId="0" fontId="27" fillId="2" borderId="1" xfId="2" applyFont="1" applyFill="1" applyBorder="1" applyAlignment="1" applyProtection="1">
      <alignment horizontal="center"/>
      <protection locked="0"/>
    </xf>
    <xf numFmtId="0" fontId="24" fillId="3" borderId="0" xfId="2" applyFont="1" applyFill="1" applyAlignment="1" applyProtection="1">
      <alignment horizontal="center"/>
      <protection locked="0"/>
    </xf>
    <xf numFmtId="0" fontId="26" fillId="3" borderId="0" xfId="2" applyFont="1" applyFill="1" applyAlignment="1" applyProtection="1">
      <alignment horizontal="center"/>
      <protection locked="0"/>
    </xf>
    <xf numFmtId="0" fontId="24" fillId="3" borderId="0" xfId="2" applyFont="1" applyFill="1" applyAlignment="1">
      <alignment horizontal="center"/>
    </xf>
    <xf numFmtId="0" fontId="27" fillId="0" borderId="0" xfId="0" applyFont="1" applyAlignment="1">
      <alignment horizontal="center"/>
    </xf>
    <xf numFmtId="0" fontId="0" fillId="0" borderId="0" xfId="0" applyAlignment="1">
      <alignment horizontal="center"/>
    </xf>
    <xf numFmtId="0" fontId="12" fillId="0" borderId="0" xfId="0" applyFont="1" applyAlignment="1">
      <alignment horizontal="center"/>
    </xf>
    <xf numFmtId="0" fontId="31" fillId="0" borderId="0" xfId="2" applyFont="1" applyAlignment="1">
      <alignment horizontal="center"/>
    </xf>
    <xf numFmtId="0" fontId="27" fillId="3" borderId="1" xfId="2" applyFont="1" applyFill="1" applyBorder="1" applyAlignment="1" applyProtection="1">
      <alignment horizontal="center"/>
      <protection locked="0"/>
    </xf>
    <xf numFmtId="0" fontId="27" fillId="2" borderId="1" xfId="2" applyFont="1" applyFill="1" applyBorder="1" applyAlignment="1">
      <alignment vertical="center" wrapText="1"/>
    </xf>
    <xf numFmtId="0" fontId="27" fillId="2" borderId="4" xfId="2" applyFont="1" applyFill="1" applyBorder="1" applyAlignment="1" applyProtection="1">
      <alignment horizontal="center"/>
      <protection locked="0"/>
    </xf>
    <xf numFmtId="0" fontId="33" fillId="0" borderId="1" xfId="0" applyFont="1" applyBorder="1" applyAlignment="1">
      <alignment horizontal="right" vertical="center" wrapText="1" readingOrder="2"/>
    </xf>
    <xf numFmtId="0" fontId="8" fillId="0" borderId="1" xfId="2" applyFont="1" applyBorder="1" applyAlignment="1">
      <alignment wrapText="1"/>
    </xf>
    <xf numFmtId="0" fontId="25" fillId="0" borderId="0" xfId="0" applyFont="1"/>
    <xf numFmtId="0" fontId="34" fillId="0" borderId="1" xfId="0" applyFont="1" applyBorder="1" applyAlignment="1">
      <alignment wrapText="1"/>
    </xf>
    <xf numFmtId="0" fontId="26" fillId="0" borderId="1" xfId="2" applyFont="1" applyBorder="1"/>
    <xf numFmtId="0" fontId="33" fillId="0" borderId="1" xfId="0" applyFont="1" applyBorder="1" applyAlignment="1">
      <alignment horizontal="right" vertical="center" readingOrder="2"/>
    </xf>
    <xf numFmtId="0" fontId="35" fillId="3" borderId="4" xfId="2" applyFont="1" applyFill="1" applyBorder="1" applyAlignment="1">
      <alignment vertical="center"/>
    </xf>
    <xf numFmtId="0" fontId="25" fillId="3" borderId="0" xfId="0" applyFont="1" applyFill="1" applyAlignment="1">
      <alignment horizontal="center"/>
    </xf>
    <xf numFmtId="0" fontId="26" fillId="0" borderId="0" xfId="0" applyFont="1" applyAlignment="1">
      <alignment horizontal="center"/>
    </xf>
    <xf numFmtId="0" fontId="26" fillId="3" borderId="0" xfId="0" applyFont="1" applyFill="1" applyAlignment="1">
      <alignment horizontal="center"/>
    </xf>
    <xf numFmtId="0" fontId="26" fillId="3" borderId="0" xfId="0" applyFont="1" applyFill="1" applyAlignment="1">
      <alignment horizontal="right"/>
    </xf>
    <xf numFmtId="0" fontId="27" fillId="3" borderId="0" xfId="2" applyFont="1" applyFill="1" applyAlignment="1">
      <alignment horizontal="center" vertical="center"/>
    </xf>
    <xf numFmtId="0" fontId="24" fillId="3" borderId="0" xfId="0" applyFont="1" applyFill="1" applyAlignment="1">
      <alignment horizontal="center"/>
    </xf>
    <xf numFmtId="0" fontId="28" fillId="3" borderId="0" xfId="0" applyFont="1" applyFill="1" applyAlignment="1">
      <alignment horizontal="center"/>
    </xf>
    <xf numFmtId="0" fontId="26" fillId="0" borderId="0" xfId="0" applyFont="1" applyAlignment="1">
      <alignment horizontal="right"/>
    </xf>
    <xf numFmtId="0" fontId="36" fillId="0" borderId="1" xfId="2" applyFont="1" applyBorder="1" applyAlignment="1">
      <alignment horizontal="right" vertical="center"/>
    </xf>
    <xf numFmtId="0" fontId="36" fillId="0" borderId="1" xfId="2" applyFont="1" applyBorder="1" applyAlignment="1">
      <alignment horizontal="center" vertical="center"/>
    </xf>
    <xf numFmtId="0" fontId="37" fillId="0" borderId="0" xfId="0" applyFont="1"/>
    <xf numFmtId="0" fontId="2" fillId="0" borderId="2" xfId="2" applyFont="1" applyBorder="1" applyAlignment="1">
      <alignment horizontal="right" vertical="center"/>
    </xf>
    <xf numFmtId="0" fontId="2" fillId="0" borderId="8" xfId="2" applyFont="1" applyBorder="1" applyAlignment="1">
      <alignment horizontal="right" vertical="center"/>
    </xf>
    <xf numFmtId="0" fontId="2" fillId="0" borderId="9" xfId="2" applyFont="1" applyBorder="1" applyAlignment="1">
      <alignment horizontal="right" vertical="center"/>
    </xf>
    <xf numFmtId="0" fontId="38" fillId="0" borderId="0" xfId="0" applyFont="1" applyAlignment="1">
      <alignment horizontal="center"/>
    </xf>
    <xf numFmtId="0" fontId="38" fillId="0" borderId="1" xfId="0" applyFont="1" applyBorder="1" applyAlignment="1">
      <alignment horizontal="center"/>
    </xf>
    <xf numFmtId="0" fontId="2" fillId="0" borderId="2" xfId="2" applyFont="1" applyBorder="1" applyAlignment="1">
      <alignment horizontal="right"/>
    </xf>
    <xf numFmtId="0" fontId="2" fillId="0" borderId="8" xfId="2" applyFont="1" applyBorder="1" applyAlignment="1">
      <alignment horizontal="right"/>
    </xf>
    <xf numFmtId="0" fontId="2" fillId="0" borderId="9" xfId="2" applyFont="1" applyBorder="1" applyAlignment="1">
      <alignment horizontal="right"/>
    </xf>
    <xf numFmtId="0" fontId="7" fillId="3" borderId="1" xfId="2" applyFont="1" applyFill="1" applyBorder="1" applyAlignment="1">
      <alignment horizontal="right" vertical="center"/>
    </xf>
    <xf numFmtId="0" fontId="39" fillId="0" borderId="0" xfId="0" applyFont="1"/>
    <xf numFmtId="0" fontId="37" fillId="0" borderId="1" xfId="0" applyFont="1" applyBorder="1" applyAlignment="1">
      <alignment horizontal="center" vertical="center"/>
    </xf>
    <xf numFmtId="0" fontId="12" fillId="3" borderId="0" xfId="0" applyFont="1" applyFill="1" applyAlignment="1">
      <alignment horizontal="center" vertical="center"/>
    </xf>
    <xf numFmtId="0" fontId="12" fillId="0" borderId="10" xfId="0" applyFont="1" applyBorder="1" applyAlignment="1">
      <alignment horizontal="right" vertical="center"/>
    </xf>
    <xf numFmtId="0" fontId="12" fillId="0" borderId="1" xfId="0" applyFont="1" applyBorder="1" applyAlignment="1">
      <alignment horizontal="right" vertical="center"/>
    </xf>
    <xf numFmtId="0" fontId="38" fillId="10" borderId="17" xfId="0" applyFont="1" applyFill="1" applyBorder="1" applyAlignment="1">
      <alignment horizontal="center" vertical="center" wrapText="1"/>
    </xf>
    <xf numFmtId="0" fontId="31" fillId="2" borderId="4" xfId="2" applyFont="1" applyFill="1" applyBorder="1" applyAlignment="1">
      <alignment horizontal="right" vertical="center"/>
    </xf>
    <xf numFmtId="0" fontId="31" fillId="2" borderId="10" xfId="2" applyFont="1" applyFill="1" applyBorder="1" applyAlignment="1">
      <alignment horizontal="right" vertical="center"/>
    </xf>
    <xf numFmtId="0" fontId="31" fillId="0" borderId="1" xfId="2" applyFont="1" applyBorder="1" applyAlignment="1">
      <alignment horizontal="right" vertical="center"/>
    </xf>
    <xf numFmtId="16" fontId="15" fillId="0" borderId="2" xfId="2" applyNumberFormat="1" applyFont="1" applyBorder="1" applyAlignment="1">
      <alignment horizontal="right" vertical="center"/>
    </xf>
    <xf numFmtId="0" fontId="31" fillId="2" borderId="1" xfId="2" applyFont="1" applyFill="1" applyBorder="1" applyAlignment="1">
      <alignment horizontal="right" vertical="center"/>
    </xf>
    <xf numFmtId="0" fontId="31" fillId="2" borderId="0" xfId="2" applyFont="1" applyFill="1" applyAlignment="1">
      <alignment horizontal="right" vertical="center"/>
    </xf>
    <xf numFmtId="0" fontId="12" fillId="8" borderId="1" xfId="0" applyFont="1" applyFill="1" applyBorder="1" applyAlignment="1">
      <alignment horizontal="right" vertical="center"/>
    </xf>
    <xf numFmtId="0" fontId="31" fillId="2" borderId="2" xfId="2" applyFont="1" applyFill="1" applyBorder="1" applyAlignment="1">
      <alignment horizontal="right" vertical="center"/>
    </xf>
    <xf numFmtId="0" fontId="46" fillId="0" borderId="0" xfId="0" applyFont="1" applyAlignment="1">
      <alignment horizontal="right" vertical="center"/>
    </xf>
    <xf numFmtId="0" fontId="20" fillId="0" borderId="0" xfId="0" applyFont="1" applyAlignment="1">
      <alignment horizontal="right" vertical="center"/>
    </xf>
    <xf numFmtId="0" fontId="31" fillId="0" borderId="1" xfId="2" applyFont="1" applyBorder="1" applyAlignment="1" applyProtection="1">
      <alignment horizontal="right" vertical="center"/>
      <protection locked="0"/>
    </xf>
    <xf numFmtId="0" fontId="20" fillId="0" borderId="10" xfId="0" applyFont="1" applyBorder="1" applyAlignment="1">
      <alignment horizontal="right" vertical="center"/>
    </xf>
    <xf numFmtId="0" fontId="20" fillId="0" borderId="1" xfId="0" applyFont="1" applyBorder="1" applyAlignment="1">
      <alignment horizontal="right" vertical="center"/>
    </xf>
    <xf numFmtId="0" fontId="10" fillId="8" borderId="1" xfId="0" applyFont="1" applyFill="1" applyBorder="1" applyAlignment="1">
      <alignment horizontal="right" vertical="center" wrapText="1"/>
    </xf>
    <xf numFmtId="2" fontId="20" fillId="8" borderId="1" xfId="0" applyNumberFormat="1" applyFont="1" applyFill="1" applyBorder="1" applyAlignment="1">
      <alignment horizontal="right" vertical="center"/>
    </xf>
    <xf numFmtId="0" fontId="12" fillId="3" borderId="0" xfId="0" applyFont="1" applyFill="1" applyAlignment="1">
      <alignment horizontal="right" vertical="center"/>
    </xf>
    <xf numFmtId="0" fontId="0" fillId="0" borderId="0" xfId="0" applyAlignment="1">
      <alignment horizontal="right" vertical="center"/>
    </xf>
    <xf numFmtId="0" fontId="42" fillId="2" borderId="4" xfId="2" applyFont="1" applyFill="1" applyBorder="1" applyAlignment="1">
      <alignment horizontal="right" vertical="center"/>
    </xf>
    <xf numFmtId="0" fontId="42" fillId="2" borderId="1" xfId="2" applyFont="1" applyFill="1" applyBorder="1" applyAlignment="1">
      <alignment horizontal="right" vertical="center"/>
    </xf>
    <xf numFmtId="0" fontId="42" fillId="2" borderId="2" xfId="2" applyFont="1" applyFill="1" applyBorder="1" applyAlignment="1">
      <alignment horizontal="right" vertical="center"/>
    </xf>
    <xf numFmtId="0" fontId="42" fillId="2" borderId="10" xfId="2" applyFont="1" applyFill="1" applyBorder="1" applyAlignment="1">
      <alignment horizontal="right" vertical="center"/>
    </xf>
    <xf numFmtId="0" fontId="42" fillId="0" borderId="1" xfId="2" applyFont="1" applyBorder="1" applyAlignment="1">
      <alignment horizontal="right" vertical="center"/>
    </xf>
    <xf numFmtId="0" fontId="42" fillId="2" borderId="0" xfId="2" applyFont="1" applyFill="1" applyAlignment="1">
      <alignment horizontal="right" vertical="center"/>
    </xf>
    <xf numFmtId="0" fontId="0" fillId="0" borderId="7" xfId="0" applyBorder="1" applyAlignment="1">
      <alignment horizontal="right" vertical="center" wrapText="1"/>
    </xf>
    <xf numFmtId="0" fontId="0" fillId="0" borderId="2" xfId="0" applyBorder="1" applyAlignment="1">
      <alignment horizontal="right" vertical="center" wrapText="1"/>
    </xf>
    <xf numFmtId="0" fontId="0" fillId="0" borderId="0" xfId="0" applyAlignment="1">
      <alignment horizontal="right" vertical="center" wrapText="1"/>
    </xf>
    <xf numFmtId="0" fontId="0" fillId="0" borderId="1" xfId="0" applyBorder="1" applyAlignment="1">
      <alignment horizontal="right" vertical="center" wrapText="1"/>
    </xf>
    <xf numFmtId="0" fontId="0" fillId="8" borderId="1" xfId="0" applyFill="1" applyBorder="1" applyAlignment="1">
      <alignment horizontal="right" vertical="center" wrapText="1"/>
    </xf>
    <xf numFmtId="0" fontId="51" fillId="9" borderId="1" xfId="2" applyFont="1" applyFill="1" applyBorder="1" applyAlignment="1">
      <alignment horizontal="right" vertical="center"/>
    </xf>
    <xf numFmtId="0" fontId="52" fillId="12" borderId="0" xfId="0" applyFont="1" applyFill="1" applyAlignment="1">
      <alignment vertical="top"/>
    </xf>
    <xf numFmtId="0" fontId="53" fillId="12" borderId="0" xfId="0" applyFont="1" applyFill="1" applyAlignment="1">
      <alignment horizontal="right" vertical="top"/>
    </xf>
    <xf numFmtId="0" fontId="3" fillId="2" borderId="2" xfId="2" applyFont="1" applyFill="1" applyBorder="1" applyAlignment="1">
      <alignment horizontal="right"/>
    </xf>
    <xf numFmtId="0" fontId="3" fillId="2" borderId="8" xfId="2" applyFont="1" applyFill="1" applyBorder="1" applyAlignment="1">
      <alignment horizontal="right"/>
    </xf>
    <xf numFmtId="0" fontId="3" fillId="2" borderId="9" xfId="2" applyFont="1" applyFill="1" applyBorder="1" applyAlignment="1">
      <alignment horizontal="right"/>
    </xf>
    <xf numFmtId="0" fontId="3" fillId="2" borderId="2" xfId="2" applyFont="1" applyFill="1" applyBorder="1" applyAlignment="1">
      <alignment horizontal="right" vertical="center"/>
    </xf>
    <xf numFmtId="0" fontId="3" fillId="2" borderId="8" xfId="2" applyFont="1" applyFill="1" applyBorder="1" applyAlignment="1">
      <alignment horizontal="right" vertical="center"/>
    </xf>
    <xf numFmtId="0" fontId="3" fillId="2" borderId="9" xfId="2" applyFont="1" applyFill="1" applyBorder="1" applyAlignment="1">
      <alignment horizontal="right" vertical="center"/>
    </xf>
    <xf numFmtId="0" fontId="2" fillId="0" borderId="2" xfId="2" applyFont="1" applyBorder="1" applyAlignment="1">
      <alignment horizontal="right"/>
    </xf>
    <xf numFmtId="0" fontId="2" fillId="0" borderId="8" xfId="2" applyFont="1" applyBorder="1" applyAlignment="1">
      <alignment horizontal="right"/>
    </xf>
    <xf numFmtId="0" fontId="2" fillId="0" borderId="9" xfId="2" applyFont="1" applyBorder="1" applyAlignment="1">
      <alignment horizontal="right"/>
    </xf>
    <xf numFmtId="0" fontId="2" fillId="0" borderId="2" xfId="2" applyFont="1" applyBorder="1"/>
    <xf numFmtId="0" fontId="2" fillId="0" borderId="8" xfId="2" applyFont="1" applyBorder="1"/>
    <xf numFmtId="0" fontId="2" fillId="0" borderId="9" xfId="2" applyFont="1" applyBorder="1"/>
    <xf numFmtId="0" fontId="5" fillId="2" borderId="2" xfId="2" applyFont="1" applyFill="1" applyBorder="1" applyAlignment="1">
      <alignment horizontal="right" vertical="center"/>
    </xf>
    <xf numFmtId="0" fontId="5" fillId="2" borderId="8" xfId="2" applyFont="1" applyFill="1" applyBorder="1" applyAlignment="1">
      <alignment horizontal="right" vertical="center"/>
    </xf>
    <xf numFmtId="0" fontId="5" fillId="2" borderId="9" xfId="2" applyFont="1" applyFill="1" applyBorder="1" applyAlignment="1">
      <alignment horizontal="right" vertical="center"/>
    </xf>
    <xf numFmtId="0" fontId="7" fillId="3" borderId="1" xfId="2" applyFont="1" applyFill="1" applyBorder="1" applyAlignment="1">
      <alignment horizontal="right" vertical="center"/>
    </xf>
    <xf numFmtId="0" fontId="2" fillId="0" borderId="2" xfId="2" applyFont="1" applyBorder="1" applyAlignment="1">
      <alignment horizontal="right" vertical="center"/>
    </xf>
    <xf numFmtId="0" fontId="2" fillId="0" borderId="8" xfId="2" applyFont="1" applyBorder="1" applyAlignment="1">
      <alignment horizontal="right" vertical="center"/>
    </xf>
    <xf numFmtId="0" fontId="2" fillId="0" borderId="9" xfId="2" applyFont="1" applyBorder="1" applyAlignment="1">
      <alignment horizontal="right" vertical="center"/>
    </xf>
    <xf numFmtId="0" fontId="7" fillId="0" borderId="2" xfId="2" applyFont="1" applyBorder="1" applyAlignment="1">
      <alignment horizontal="right"/>
    </xf>
    <xf numFmtId="0" fontId="7" fillId="0" borderId="8" xfId="2" applyFont="1" applyBorder="1" applyAlignment="1">
      <alignment horizontal="right"/>
    </xf>
    <xf numFmtId="0" fontId="7" fillId="0" borderId="9" xfId="2" applyFont="1" applyBorder="1" applyAlignment="1">
      <alignment horizontal="right"/>
    </xf>
    <xf numFmtId="0" fontId="7" fillId="0" borderId="1" xfId="2" applyFont="1" applyBorder="1" applyAlignment="1">
      <alignment horizontal="right" vertical="top"/>
    </xf>
    <xf numFmtId="0" fontId="47" fillId="2" borderId="2" xfId="2" applyFont="1" applyFill="1" applyBorder="1" applyAlignment="1">
      <alignment horizontal="right" vertical="center" wrapText="1"/>
    </xf>
    <xf numFmtId="0" fontId="47" fillId="2" borderId="8" xfId="2" applyFont="1" applyFill="1" applyBorder="1" applyAlignment="1">
      <alignment horizontal="right" vertical="center" wrapText="1"/>
    </xf>
    <xf numFmtId="0" fontId="15" fillId="0" borderId="2" xfId="2" applyFont="1" applyBorder="1" applyAlignment="1">
      <alignment horizontal="right" vertical="center" wrapText="1"/>
    </xf>
    <xf numFmtId="0" fontId="15" fillId="0" borderId="8" xfId="2" applyFont="1" applyBorder="1" applyAlignment="1">
      <alignment horizontal="right" vertical="center" wrapText="1"/>
    </xf>
    <xf numFmtId="0" fontId="15" fillId="3" borderId="2" xfId="2" applyFont="1" applyFill="1" applyBorder="1" applyAlignment="1">
      <alignment horizontal="right" vertical="center" wrapText="1"/>
    </xf>
    <xf numFmtId="0" fontId="15" fillId="3" borderId="8" xfId="2" applyFont="1" applyFill="1" applyBorder="1" applyAlignment="1">
      <alignment horizontal="right" vertical="center" wrapText="1"/>
    </xf>
    <xf numFmtId="0" fontId="10" fillId="0" borderId="2" xfId="0" applyFont="1" applyBorder="1" applyAlignment="1">
      <alignment horizontal="right" vertical="center"/>
    </xf>
    <xf numFmtId="0" fontId="10" fillId="0" borderId="8" xfId="0" applyFont="1" applyBorder="1" applyAlignment="1">
      <alignment horizontal="right" vertical="center"/>
    </xf>
    <xf numFmtId="0" fontId="12" fillId="2" borderId="14" xfId="2" applyFont="1" applyFill="1" applyBorder="1" applyAlignment="1">
      <alignment horizontal="right" vertical="center"/>
    </xf>
    <xf numFmtId="0" fontId="12" fillId="2" borderId="15" xfId="2" applyFont="1" applyFill="1" applyBorder="1" applyAlignment="1">
      <alignment horizontal="right" vertical="center"/>
    </xf>
    <xf numFmtId="0" fontId="12" fillId="2" borderId="16" xfId="2" applyFont="1" applyFill="1" applyBorder="1" applyAlignment="1">
      <alignment horizontal="right" vertical="center"/>
    </xf>
    <xf numFmtId="0" fontId="31" fillId="2" borderId="4" xfId="2" applyFont="1" applyFill="1" applyBorder="1" applyAlignment="1">
      <alignment horizontal="right" vertical="center"/>
    </xf>
    <xf numFmtId="0" fontId="31" fillId="2" borderId="10" xfId="2" applyFont="1" applyFill="1" applyBorder="1" applyAlignment="1">
      <alignment horizontal="right" vertical="center"/>
    </xf>
    <xf numFmtId="0" fontId="50" fillId="11" borderId="10" xfId="4" applyNumberFormat="1" applyBorder="1" applyAlignment="1" applyProtection="1">
      <alignment horizontal="right" vertical="center"/>
    </xf>
    <xf numFmtId="0" fontId="31" fillId="2" borderId="2" xfId="2" applyFont="1" applyFill="1" applyBorder="1" applyAlignment="1">
      <alignment horizontal="right" vertical="center"/>
    </xf>
    <xf numFmtId="0" fontId="31" fillId="2" borderId="8" xfId="2" applyFont="1" applyFill="1" applyBorder="1" applyAlignment="1">
      <alignment horizontal="right" vertical="center"/>
    </xf>
    <xf numFmtId="0" fontId="31" fillId="2" borderId="9" xfId="2" applyFont="1" applyFill="1" applyBorder="1" applyAlignment="1">
      <alignment horizontal="right" vertical="center"/>
    </xf>
    <xf numFmtId="0" fontId="15" fillId="0" borderId="2" xfId="2" applyFont="1" applyBorder="1" applyAlignment="1">
      <alignment horizontal="right" vertical="center"/>
    </xf>
    <xf numFmtId="0" fontId="15" fillId="0" borderId="8" xfId="2" applyFont="1" applyBorder="1" applyAlignment="1">
      <alignment horizontal="right" vertical="center"/>
    </xf>
    <xf numFmtId="0" fontId="47" fillId="2" borderId="2" xfId="2" applyFont="1" applyFill="1" applyBorder="1" applyAlignment="1">
      <alignment horizontal="right" vertical="center"/>
    </xf>
    <xf numFmtId="0" fontId="47" fillId="2" borderId="8" xfId="2" applyFont="1" applyFill="1" applyBorder="1" applyAlignment="1">
      <alignment horizontal="right" vertical="center"/>
    </xf>
    <xf numFmtId="0" fontId="0" fillId="0" borderId="2" xfId="0" applyBorder="1" applyAlignment="1">
      <alignment horizontal="right" vertical="center"/>
    </xf>
    <xf numFmtId="0" fontId="0" fillId="0" borderId="8" xfId="0" applyBorder="1" applyAlignment="1">
      <alignment horizontal="right" vertical="center"/>
    </xf>
    <xf numFmtId="0" fontId="43" fillId="0" borderId="2" xfId="2" applyFont="1" applyBorder="1" applyAlignment="1">
      <alignment horizontal="right" vertical="center"/>
    </xf>
    <xf numFmtId="0" fontId="43" fillId="0" borderId="8" xfId="2" applyFont="1" applyBorder="1" applyAlignment="1">
      <alignment horizontal="right" vertical="center"/>
    </xf>
    <xf numFmtId="0" fontId="42" fillId="2" borderId="4" xfId="2" applyFont="1" applyFill="1" applyBorder="1" applyAlignment="1">
      <alignment horizontal="right" vertical="center"/>
    </xf>
    <xf numFmtId="0" fontId="42" fillId="2" borderId="10" xfId="2" applyFont="1" applyFill="1" applyBorder="1" applyAlignment="1">
      <alignment horizontal="right" vertical="center"/>
    </xf>
    <xf numFmtId="0" fontId="44" fillId="2" borderId="14" xfId="2" applyFont="1" applyFill="1" applyBorder="1" applyAlignment="1">
      <alignment horizontal="right" vertical="center"/>
    </xf>
    <xf numFmtId="0" fontId="44" fillId="2" borderId="15" xfId="2" applyFont="1" applyFill="1" applyBorder="1" applyAlignment="1">
      <alignment horizontal="right" vertical="center"/>
    </xf>
    <xf numFmtId="0" fontId="44" fillId="2" borderId="16" xfId="2" applyFont="1" applyFill="1" applyBorder="1" applyAlignment="1">
      <alignment horizontal="right" vertical="center"/>
    </xf>
    <xf numFmtId="0" fontId="42" fillId="2" borderId="2" xfId="2" applyFont="1" applyFill="1" applyBorder="1" applyAlignment="1">
      <alignment horizontal="right" vertical="center"/>
    </xf>
    <xf numFmtId="0" fontId="42" fillId="2" borderId="8" xfId="2" applyFont="1" applyFill="1" applyBorder="1" applyAlignment="1">
      <alignment horizontal="right" vertical="center"/>
    </xf>
    <xf numFmtId="0" fontId="42" fillId="2" borderId="9" xfId="2" applyFont="1" applyFill="1" applyBorder="1" applyAlignment="1">
      <alignment horizontal="right" vertical="center"/>
    </xf>
    <xf numFmtId="0" fontId="43" fillId="0" borderId="2" xfId="2" applyFont="1" applyBorder="1" applyAlignment="1">
      <alignment horizontal="right" vertical="center" wrapText="1"/>
    </xf>
    <xf numFmtId="0" fontId="45" fillId="2" borderId="2" xfId="2" applyFont="1" applyFill="1" applyBorder="1" applyAlignment="1">
      <alignment horizontal="right" vertical="center"/>
    </xf>
    <xf numFmtId="0" fontId="45" fillId="2" borderId="8" xfId="2" applyFont="1" applyFill="1" applyBorder="1" applyAlignment="1">
      <alignment horizontal="right" vertical="center"/>
    </xf>
    <xf numFmtId="0" fontId="43" fillId="0" borderId="8" xfId="2" applyFont="1" applyBorder="1" applyAlignment="1">
      <alignment horizontal="right" vertical="center" wrapText="1"/>
    </xf>
    <xf numFmtId="0" fontId="45" fillId="2" borderId="2" xfId="2" applyFont="1" applyFill="1" applyBorder="1" applyAlignment="1">
      <alignment horizontal="right" vertical="center" wrapText="1"/>
    </xf>
    <xf numFmtId="0" fontId="45" fillId="2" borderId="8" xfId="2" applyFont="1" applyFill="1" applyBorder="1" applyAlignment="1">
      <alignment horizontal="right" vertical="center" wrapText="1"/>
    </xf>
    <xf numFmtId="1" fontId="49" fillId="3" borderId="4" xfId="3" applyNumberFormat="1" applyFont="1" applyFill="1" applyBorder="1" applyAlignment="1" applyProtection="1">
      <alignment horizontal="right" vertical="center"/>
    </xf>
    <xf numFmtId="1" fontId="49" fillId="3" borderId="10" xfId="3" applyNumberFormat="1" applyFont="1" applyFill="1" applyBorder="1" applyAlignment="1" applyProtection="1">
      <alignment horizontal="right" vertical="center"/>
    </xf>
    <xf numFmtId="0" fontId="3" fillId="2" borderId="4" xfId="2" applyFont="1" applyFill="1" applyBorder="1" applyAlignment="1">
      <alignment horizontal="center" vertical="center"/>
    </xf>
    <xf numFmtId="0" fontId="3" fillId="2" borderId="10" xfId="2" applyFont="1" applyFill="1" applyBorder="1" applyAlignment="1">
      <alignment horizontal="center" vertical="center"/>
    </xf>
    <xf numFmtId="1" fontId="3" fillId="0" borderId="4" xfId="3" applyNumberFormat="1" applyFont="1" applyFill="1" applyBorder="1" applyAlignment="1" applyProtection="1">
      <alignment horizontal="center" vertical="center"/>
    </xf>
    <xf numFmtId="1" fontId="3" fillId="0" borderId="10" xfId="3" applyNumberFormat="1" applyFont="1" applyFill="1" applyBorder="1" applyAlignment="1" applyProtection="1">
      <alignment horizontal="center" vertical="center"/>
    </xf>
    <xf numFmtId="0" fontId="3" fillId="2" borderId="2" xfId="2" applyFont="1" applyFill="1" applyBorder="1" applyAlignment="1">
      <alignment horizontal="center"/>
    </xf>
    <xf numFmtId="0" fontId="3" fillId="2" borderId="9" xfId="2" applyFont="1" applyFill="1" applyBorder="1" applyAlignment="1">
      <alignment horizontal="center"/>
    </xf>
    <xf numFmtId="16" fontId="2" fillId="0" borderId="2" xfId="2" applyNumberFormat="1" applyFont="1" applyBorder="1" applyAlignment="1">
      <alignment horizontal="center" vertical="center"/>
    </xf>
    <xf numFmtId="16" fontId="2" fillId="0" borderId="9" xfId="2" applyNumberFormat="1" applyFont="1" applyBorder="1" applyAlignment="1">
      <alignment horizontal="center" vertical="center"/>
    </xf>
    <xf numFmtId="0" fontId="3" fillId="2" borderId="8" xfId="2" applyFont="1" applyFill="1" applyBorder="1" applyAlignment="1">
      <alignment horizontal="center"/>
    </xf>
    <xf numFmtId="0" fontId="16" fillId="2" borderId="2" xfId="2" applyFont="1" applyFill="1" applyBorder="1" applyAlignment="1">
      <alignment horizontal="right"/>
    </xf>
    <xf numFmtId="0" fontId="16" fillId="2" borderId="8" xfId="2" applyFont="1" applyFill="1" applyBorder="1" applyAlignment="1">
      <alignment horizontal="right"/>
    </xf>
    <xf numFmtId="0" fontId="16" fillId="2" borderId="9" xfId="2" applyFont="1" applyFill="1" applyBorder="1" applyAlignment="1">
      <alignment horizontal="right"/>
    </xf>
    <xf numFmtId="0" fontId="40" fillId="0" borderId="2" xfId="2" applyFont="1" applyBorder="1" applyAlignment="1">
      <alignment horizontal="right"/>
    </xf>
    <xf numFmtId="0" fontId="40" fillId="0" borderId="8" xfId="2" applyFont="1" applyBorder="1" applyAlignment="1">
      <alignment horizontal="right"/>
    </xf>
    <xf numFmtId="0" fontId="40" fillId="0" borderId="9" xfId="2" applyFont="1" applyBorder="1" applyAlignment="1">
      <alignment horizontal="right"/>
    </xf>
    <xf numFmtId="0" fontId="7" fillId="0" borderId="2" xfId="2" applyFont="1" applyBorder="1" applyAlignment="1">
      <alignment horizontal="right" wrapText="1"/>
    </xf>
    <xf numFmtId="0" fontId="7" fillId="0" borderId="8" xfId="2" applyFont="1" applyBorder="1" applyAlignment="1">
      <alignment horizontal="right" wrapText="1"/>
    </xf>
    <xf numFmtId="0" fontId="7" fillId="0" borderId="9" xfId="2" applyFont="1" applyBorder="1" applyAlignment="1">
      <alignment horizontal="right" wrapText="1"/>
    </xf>
    <xf numFmtId="0" fontId="7" fillId="3" borderId="1" xfId="2" applyFont="1" applyFill="1" applyBorder="1" applyAlignment="1">
      <alignment horizontal="right" vertical="center" wrapText="1"/>
    </xf>
    <xf numFmtId="0" fontId="7" fillId="0" borderId="1" xfId="2" applyFont="1" applyBorder="1" applyAlignment="1">
      <alignment horizontal="right" vertical="top" wrapText="1"/>
    </xf>
    <xf numFmtId="0" fontId="3" fillId="2" borderId="4" xfId="2" applyFont="1" applyFill="1" applyBorder="1" applyAlignment="1">
      <alignment horizontal="center" vertical="center" wrapText="1"/>
    </xf>
    <xf numFmtId="0" fontId="3" fillId="2" borderId="10" xfId="2" applyFont="1" applyFill="1" applyBorder="1" applyAlignment="1">
      <alignment horizontal="center" vertical="center" wrapText="1"/>
    </xf>
    <xf numFmtId="0" fontId="7" fillId="3" borderId="2" xfId="2" applyFont="1" applyFill="1" applyBorder="1" applyAlignment="1">
      <alignment horizontal="right" vertical="center"/>
    </xf>
    <xf numFmtId="0" fontId="7" fillId="3" borderId="8" xfId="2" applyFont="1" applyFill="1" applyBorder="1" applyAlignment="1">
      <alignment horizontal="right" vertical="center"/>
    </xf>
    <xf numFmtId="0" fontId="7" fillId="3" borderId="9" xfId="2" applyFont="1" applyFill="1" applyBorder="1" applyAlignment="1">
      <alignment horizontal="right" vertical="center"/>
    </xf>
    <xf numFmtId="0" fontId="12" fillId="6" borderId="1" xfId="0" applyFont="1" applyFill="1" applyBorder="1" applyAlignment="1">
      <alignment horizontal="center"/>
    </xf>
    <xf numFmtId="2" fontId="50" fillId="11" borderId="4" xfId="4" applyNumberFormat="1" applyBorder="1" applyAlignment="1" applyProtection="1">
      <alignment horizontal="right" vertical="center"/>
    </xf>
    <xf numFmtId="0" fontId="15" fillId="3" borderId="2" xfId="2" applyFont="1" applyFill="1" applyBorder="1" applyAlignment="1">
      <alignment horizontal="right" vertical="center"/>
    </xf>
    <xf numFmtId="0" fontId="15" fillId="3" borderId="8" xfId="2" applyFont="1" applyFill="1" applyBorder="1" applyAlignment="1">
      <alignment horizontal="right" vertical="center"/>
    </xf>
    <xf numFmtId="2" fontId="48" fillId="9" borderId="1" xfId="2" applyNumberFormat="1" applyFont="1" applyFill="1" applyBorder="1" applyAlignment="1">
      <alignment horizontal="right" vertical="center"/>
    </xf>
  </cellXfs>
  <cellStyles count="5">
    <cellStyle name="Good" xfId="4" builtinId="26"/>
    <cellStyle name="Normal" xfId="0" builtinId="0"/>
    <cellStyle name="Normal 2" xfId="1" xr:uid="{00000000-0005-0000-0000-000001000000}"/>
    <cellStyle name="Normal_וויפר ספטמבר" xfId="2" xr:uid="{00000000-0005-0000-0000-000002000000}"/>
    <cellStyle name="Percent" xfId="3" builtinId="5"/>
  </cellStyles>
  <dxfs count="47">
    <dxf>
      <font>
        <condense val="0"/>
        <extend val="0"/>
        <color indexed="9"/>
      </font>
    </dxf>
    <dxf>
      <font>
        <condense val="0"/>
        <extend val="0"/>
        <color auto="1"/>
      </font>
    </dxf>
    <dxf>
      <font>
        <b/>
        <i val="0"/>
        <condense val="0"/>
        <extend val="0"/>
        <color indexed="10"/>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
      <font>
        <condense val="0"/>
        <extend val="0"/>
        <color indexed="9"/>
      </font>
    </dxf>
    <dxf>
      <font>
        <condense val="0"/>
        <extend val="0"/>
        <color auto="1"/>
      </font>
    </dxf>
    <dxf>
      <font>
        <b/>
        <i val="0"/>
        <condense val="0"/>
        <extend val="0"/>
        <color indexed="10"/>
      </font>
    </dxf>
    <dxf>
      <font>
        <b/>
        <i val="0"/>
        <color rgb="FFFF0000"/>
      </font>
    </dxf>
    <dxf>
      <font>
        <b/>
        <i val="0"/>
        <color rgb="FF0000FF"/>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0</xdr:row>
      <xdr:rowOff>68580</xdr:rowOff>
    </xdr:from>
    <xdr:to>
      <xdr:col>18</xdr:col>
      <xdr:colOff>480060</xdr:colOff>
      <xdr:row>16</xdr:row>
      <xdr:rowOff>91440</xdr:rowOff>
    </xdr:to>
    <xdr:pic>
      <xdr:nvPicPr>
        <xdr:cNvPr id="322566" name="Picture 1" descr="גב מערכות.bmp">
          <a:extLst>
            <a:ext uri="{FF2B5EF4-FFF2-40B4-BE49-F238E27FC236}">
              <a16:creationId xmlns:a16="http://schemas.microsoft.com/office/drawing/2014/main" id="{0C646616-A412-4095-A45E-DCDDBA492E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7723460" y="68580"/>
          <a:ext cx="480060" cy="5021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0</xdr:row>
      <xdr:rowOff>68580</xdr:rowOff>
    </xdr:from>
    <xdr:to>
      <xdr:col>19</xdr:col>
      <xdr:colOff>480060</xdr:colOff>
      <xdr:row>10</xdr:row>
      <xdr:rowOff>0</xdr:rowOff>
    </xdr:to>
    <xdr:pic>
      <xdr:nvPicPr>
        <xdr:cNvPr id="322567" name="Picture 1" descr="גב מערכות.bmp">
          <a:extLst>
            <a:ext uri="{FF2B5EF4-FFF2-40B4-BE49-F238E27FC236}">
              <a16:creationId xmlns:a16="http://schemas.microsoft.com/office/drawing/2014/main" id="{C921EFC6-3994-437D-8BA9-37AF946844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260420" y="68580"/>
          <a:ext cx="480060"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0</xdr:row>
      <xdr:rowOff>68580</xdr:rowOff>
    </xdr:from>
    <xdr:to>
      <xdr:col>19</xdr:col>
      <xdr:colOff>480060</xdr:colOff>
      <xdr:row>10</xdr:row>
      <xdr:rowOff>0</xdr:rowOff>
    </xdr:to>
    <xdr:pic>
      <xdr:nvPicPr>
        <xdr:cNvPr id="21422" name="Picture 1" descr="גב מערכות.bmp">
          <a:extLst>
            <a:ext uri="{FF2B5EF4-FFF2-40B4-BE49-F238E27FC236}">
              <a16:creationId xmlns:a16="http://schemas.microsoft.com/office/drawing/2014/main" id="{EFB2D687-449C-48FF-9DA7-9CEB4EED08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260420" y="68580"/>
          <a:ext cx="480060"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0</xdr:row>
      <xdr:rowOff>68580</xdr:rowOff>
    </xdr:from>
    <xdr:to>
      <xdr:col>18</xdr:col>
      <xdr:colOff>480060</xdr:colOff>
      <xdr:row>26</xdr:row>
      <xdr:rowOff>175260</xdr:rowOff>
    </xdr:to>
    <xdr:pic>
      <xdr:nvPicPr>
        <xdr:cNvPr id="323590" name="Picture 1" descr="גב מערכות.bmp">
          <a:extLst>
            <a:ext uri="{FF2B5EF4-FFF2-40B4-BE49-F238E27FC236}">
              <a16:creationId xmlns:a16="http://schemas.microsoft.com/office/drawing/2014/main" id="{CA5EABA6-5D2A-4A9B-AEAB-499E44E93B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7723460" y="68580"/>
          <a:ext cx="480060" cy="8564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0</xdr:row>
      <xdr:rowOff>68580</xdr:rowOff>
    </xdr:from>
    <xdr:to>
      <xdr:col>19</xdr:col>
      <xdr:colOff>480060</xdr:colOff>
      <xdr:row>16</xdr:row>
      <xdr:rowOff>91440</xdr:rowOff>
    </xdr:to>
    <xdr:pic>
      <xdr:nvPicPr>
        <xdr:cNvPr id="323591" name="Picture 1" descr="גב מערכות.bmp">
          <a:extLst>
            <a:ext uri="{FF2B5EF4-FFF2-40B4-BE49-F238E27FC236}">
              <a16:creationId xmlns:a16="http://schemas.microsoft.com/office/drawing/2014/main" id="{BA193EAC-B8E8-40C5-AC0B-6A49D2B6FA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260420" y="68580"/>
          <a:ext cx="480060" cy="5021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0</xdr:colOff>
      <xdr:row>0</xdr:row>
      <xdr:rowOff>68580</xdr:rowOff>
    </xdr:from>
    <xdr:to>
      <xdr:col>19</xdr:col>
      <xdr:colOff>480060</xdr:colOff>
      <xdr:row>5</xdr:row>
      <xdr:rowOff>121920</xdr:rowOff>
    </xdr:to>
    <xdr:pic>
      <xdr:nvPicPr>
        <xdr:cNvPr id="324620" name="Picture 2" descr="גב מערכות.bmp">
          <a:extLst>
            <a:ext uri="{FF2B5EF4-FFF2-40B4-BE49-F238E27FC236}">
              <a16:creationId xmlns:a16="http://schemas.microsoft.com/office/drawing/2014/main" id="{41EDCD4B-2C76-4EBF-8B45-8120B4C367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260420" y="68580"/>
          <a:ext cx="480060" cy="161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0</xdr:row>
      <xdr:rowOff>68580</xdr:rowOff>
    </xdr:from>
    <xdr:to>
      <xdr:col>19</xdr:col>
      <xdr:colOff>480060</xdr:colOff>
      <xdr:row>10</xdr:row>
      <xdr:rowOff>0</xdr:rowOff>
    </xdr:to>
    <xdr:pic>
      <xdr:nvPicPr>
        <xdr:cNvPr id="324621" name="Picture 1" descr="גב מערכות.bmp">
          <a:extLst>
            <a:ext uri="{FF2B5EF4-FFF2-40B4-BE49-F238E27FC236}">
              <a16:creationId xmlns:a16="http://schemas.microsoft.com/office/drawing/2014/main" id="{933D23E3-9A91-4668-850C-C11FF9AC25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260420" y="68580"/>
          <a:ext cx="480060"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0</xdr:colOff>
      <xdr:row>0</xdr:row>
      <xdr:rowOff>68580</xdr:rowOff>
    </xdr:from>
    <xdr:to>
      <xdr:col>18</xdr:col>
      <xdr:colOff>480060</xdr:colOff>
      <xdr:row>16</xdr:row>
      <xdr:rowOff>91440</xdr:rowOff>
    </xdr:to>
    <xdr:pic>
      <xdr:nvPicPr>
        <xdr:cNvPr id="324622" name="Picture 3" descr="גב מערכות.bmp">
          <a:extLst>
            <a:ext uri="{FF2B5EF4-FFF2-40B4-BE49-F238E27FC236}">
              <a16:creationId xmlns:a16="http://schemas.microsoft.com/office/drawing/2014/main" id="{E2E32699-0A1D-4198-B410-99842EB003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7723460" y="68580"/>
          <a:ext cx="480060" cy="5021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0</xdr:row>
      <xdr:rowOff>68580</xdr:rowOff>
    </xdr:from>
    <xdr:to>
      <xdr:col>19</xdr:col>
      <xdr:colOff>480060</xdr:colOff>
      <xdr:row>10</xdr:row>
      <xdr:rowOff>0</xdr:rowOff>
    </xdr:to>
    <xdr:pic>
      <xdr:nvPicPr>
        <xdr:cNvPr id="324623" name="Picture 1" descr="גב מערכות.bmp">
          <a:extLst>
            <a:ext uri="{FF2B5EF4-FFF2-40B4-BE49-F238E27FC236}">
              <a16:creationId xmlns:a16="http://schemas.microsoft.com/office/drawing/2014/main" id="{23C3180C-88AA-481A-A580-AA069728BC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260420" y="68580"/>
          <a:ext cx="480060"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2"/>
  <sheetViews>
    <sheetView rightToLeft="1" zoomScale="77" zoomScaleNormal="77" workbookViewId="0">
      <selection sqref="A1:IV65536"/>
    </sheetView>
  </sheetViews>
  <sheetFormatPr defaultColWidth="21.375" defaultRowHeight="24.95" customHeight="1"/>
  <cols>
    <col min="1" max="1" width="12.125" customWidth="1"/>
    <col min="2" max="2" width="84.375" style="159" customWidth="1"/>
    <col min="3" max="3" width="24.375" style="92" customWidth="1"/>
    <col min="4" max="4" width="32.375" style="92" bestFit="1" customWidth="1"/>
    <col min="5" max="5" width="26.375" style="92" bestFit="1" customWidth="1"/>
    <col min="6" max="6" width="21.375" style="158" customWidth="1"/>
    <col min="7" max="7" width="21.375" style="157" customWidth="1"/>
    <col min="8" max="9" width="21.375" style="152" customWidth="1"/>
    <col min="10" max="18" width="21.375" style="93" customWidth="1"/>
    <col min="19" max="22" width="21.375" style="74" customWidth="1"/>
  </cols>
  <sheetData>
    <row r="1" spans="2:30" ht="24.95" customHeight="1">
      <c r="B1" s="88" t="s">
        <v>86</v>
      </c>
      <c r="C1" s="89"/>
      <c r="D1" s="89"/>
      <c r="E1" s="89"/>
      <c r="F1" s="90"/>
      <c r="G1" s="91"/>
      <c r="H1" s="92"/>
      <c r="I1" s="92"/>
      <c r="R1" s="94"/>
      <c r="S1" s="95"/>
      <c r="T1"/>
      <c r="U1"/>
      <c r="V1"/>
    </row>
    <row r="2" spans="2:30" ht="24.95" customHeight="1">
      <c r="B2" s="96"/>
      <c r="C2" s="89"/>
      <c r="D2" s="89"/>
      <c r="E2" s="89"/>
      <c r="F2" s="89"/>
      <c r="G2" s="97"/>
      <c r="H2" s="97" t="s">
        <v>87</v>
      </c>
      <c r="I2" s="97"/>
      <c r="J2" s="98"/>
      <c r="R2" s="94"/>
      <c r="S2" s="95"/>
      <c r="T2"/>
      <c r="U2"/>
      <c r="V2"/>
    </row>
    <row r="3" spans="2:30" ht="24.95" customHeight="1">
      <c r="B3" s="99" t="s">
        <v>0</v>
      </c>
      <c r="C3" s="100">
        <f>AVERAGE(C9:E9)</f>
        <v>82.000000000000014</v>
      </c>
      <c r="D3" s="101" t="s">
        <v>1</v>
      </c>
      <c r="E3" s="102" t="s">
        <v>2</v>
      </c>
      <c r="F3" s="102"/>
      <c r="G3" s="97" t="s">
        <v>3</v>
      </c>
      <c r="H3" s="103">
        <f>COUNTIF($C$11:$E$28,"בוצע")+SUM(G10:G17)</f>
        <v>37</v>
      </c>
      <c r="I3" s="97" t="s">
        <v>88</v>
      </c>
      <c r="J3" s="98"/>
      <c r="R3" s="94"/>
      <c r="S3" s="95"/>
      <c r="T3"/>
      <c r="U3"/>
      <c r="V3"/>
    </row>
    <row r="4" spans="2:30" ht="24.95" customHeight="1">
      <c r="B4" s="99"/>
      <c r="C4" s="100"/>
      <c r="D4" s="161" t="s">
        <v>128</v>
      </c>
      <c r="E4" s="161" t="s">
        <v>127</v>
      </c>
      <c r="F4" s="160"/>
      <c r="G4" s="97" t="s">
        <v>4</v>
      </c>
      <c r="H4" s="103">
        <f>COUNTIF($C$11:$E$28,"לא בוצע")+SUM(G10:G17)</f>
        <v>8</v>
      </c>
      <c r="I4" s="97" t="s">
        <v>89</v>
      </c>
      <c r="J4" s="98"/>
      <c r="R4" s="94"/>
      <c r="S4" s="95"/>
      <c r="T4"/>
      <c r="U4"/>
      <c r="V4"/>
    </row>
    <row r="5" spans="2:30" ht="24.95" customHeight="1">
      <c r="B5" s="102" t="s">
        <v>90</v>
      </c>
      <c r="C5" s="102"/>
      <c r="D5" s="102"/>
      <c r="E5" s="102"/>
      <c r="F5" s="104" t="s">
        <v>6</v>
      </c>
      <c r="G5" s="97" t="s">
        <v>7</v>
      </c>
      <c r="H5" s="103">
        <f>COUNTIF($C$11:$E$28,"לא רלוונטי")+SUM(O12:O28)</f>
        <v>0.59000000000000008</v>
      </c>
      <c r="I5" s="97"/>
      <c r="J5" s="98"/>
      <c r="R5" s="94"/>
      <c r="S5" s="95"/>
      <c r="T5"/>
      <c r="U5"/>
      <c r="V5"/>
    </row>
    <row r="6" spans="2:30" ht="24.95" customHeight="1">
      <c r="B6" s="160" t="s">
        <v>8</v>
      </c>
      <c r="C6" s="172">
        <v>526585852</v>
      </c>
      <c r="D6" s="160">
        <v>737067429</v>
      </c>
      <c r="E6" s="160">
        <v>547098440</v>
      </c>
      <c r="F6" s="105"/>
      <c r="G6" s="91"/>
      <c r="H6" s="92"/>
      <c r="I6" s="106"/>
      <c r="J6" s="98"/>
      <c r="R6" s="94"/>
      <c r="S6" s="95"/>
      <c r="T6"/>
      <c r="U6"/>
      <c r="V6"/>
    </row>
    <row r="7" spans="2:30" ht="24.95" customHeight="1">
      <c r="B7" s="160" t="s">
        <v>9</v>
      </c>
      <c r="C7" s="160"/>
      <c r="D7" s="160"/>
      <c r="E7" s="160"/>
      <c r="F7" s="105"/>
      <c r="G7" s="91"/>
      <c r="H7" s="92"/>
      <c r="I7" s="106"/>
      <c r="J7" s="98"/>
      <c r="R7" s="94"/>
      <c r="S7" s="95"/>
      <c r="T7"/>
      <c r="U7"/>
      <c r="V7"/>
    </row>
    <row r="8" spans="2:30" ht="24.95" customHeight="1">
      <c r="B8" s="160" t="s">
        <v>10</v>
      </c>
      <c r="C8" s="160"/>
      <c r="D8" s="160"/>
      <c r="E8" s="160"/>
      <c r="F8" s="108">
        <f>SUM(F11:F28)</f>
        <v>0.90000000000000036</v>
      </c>
      <c r="G8" s="109"/>
      <c r="H8" s="110"/>
      <c r="I8" s="110"/>
      <c r="J8" s="111"/>
      <c r="L8" s="112" t="s">
        <v>7</v>
      </c>
      <c r="M8" s="112" t="s">
        <v>3</v>
      </c>
      <c r="N8" s="112" t="s">
        <v>7</v>
      </c>
      <c r="O8" s="112" t="s">
        <v>3</v>
      </c>
      <c r="P8" s="112" t="s">
        <v>7</v>
      </c>
      <c r="Q8" s="112" t="s">
        <v>3</v>
      </c>
      <c r="R8" s="94"/>
      <c r="S8" s="95"/>
      <c r="T8"/>
      <c r="U8"/>
      <c r="V8"/>
    </row>
    <row r="9" spans="2:30" s="113" customFormat="1" ht="24.95" customHeight="1">
      <c r="B9" s="160" t="s">
        <v>11</v>
      </c>
      <c r="C9" s="160">
        <f>M31</f>
        <v>82.000000000000028</v>
      </c>
      <c r="D9" s="160">
        <f>O31</f>
        <v>64.000000000000014</v>
      </c>
      <c r="E9" s="160">
        <f>Q31</f>
        <v>100</v>
      </c>
      <c r="F9" s="114"/>
      <c r="G9" s="115"/>
      <c r="H9" s="115"/>
      <c r="I9" s="116"/>
      <c r="J9" s="117"/>
      <c r="K9" s="118"/>
      <c r="L9" s="119"/>
      <c r="M9" s="119"/>
      <c r="N9" s="119"/>
      <c r="O9" s="119"/>
      <c r="P9" s="119"/>
      <c r="Q9" s="120"/>
      <c r="R9" s="94"/>
      <c r="S9" s="95"/>
      <c r="T9"/>
      <c r="U9"/>
      <c r="V9"/>
      <c r="W9"/>
      <c r="X9"/>
      <c r="Y9"/>
      <c r="Z9"/>
      <c r="AA9"/>
      <c r="AB9"/>
      <c r="AC9"/>
      <c r="AD9"/>
    </row>
    <row r="10" spans="2:30" ht="24.95" customHeight="1">
      <c r="B10" s="121" t="s">
        <v>91</v>
      </c>
      <c r="C10" s="121"/>
      <c r="D10" s="121"/>
      <c r="E10" s="121"/>
      <c r="F10" s="122"/>
      <c r="G10" s="123"/>
      <c r="H10" s="123"/>
      <c r="I10" s="123"/>
      <c r="L10" s="124">
        <f>SUM(L11:L30)</f>
        <v>0.05</v>
      </c>
      <c r="M10" s="124">
        <f>SUM(M11:M30)</f>
        <v>0.82000000000000028</v>
      </c>
      <c r="N10" s="124">
        <f>SUM(N11:N30)</f>
        <v>0</v>
      </c>
      <c r="O10" s="124">
        <f>SUM(O11:O30)</f>
        <v>0.64000000000000012</v>
      </c>
      <c r="P10" s="124">
        <f>SUM(P11:P30)</f>
        <v>0</v>
      </c>
      <c r="Q10" s="124">
        <v>1</v>
      </c>
      <c r="R10" s="125"/>
      <c r="S10" s="126"/>
      <c r="T10"/>
      <c r="U10"/>
      <c r="V10"/>
    </row>
    <row r="11" spans="2:30" ht="24.95" customHeight="1">
      <c r="B11" s="160" t="s">
        <v>92</v>
      </c>
      <c r="C11" s="160" t="s">
        <v>3</v>
      </c>
      <c r="D11" s="160" t="s">
        <v>3</v>
      </c>
      <c r="E11" s="160" t="s">
        <v>3</v>
      </c>
      <c r="F11" s="127">
        <v>0.05</v>
      </c>
      <c r="G11" s="123"/>
      <c r="H11" s="123"/>
      <c r="I11" s="128">
        <f>F11</f>
        <v>0.05</v>
      </c>
      <c r="L11" s="129">
        <f>IF((C11=$G$5)+OR(C11=""),$I11,0)</f>
        <v>0</v>
      </c>
      <c r="M11" s="124">
        <f>IF(C11=$G$3,$I11,0)</f>
        <v>0.05</v>
      </c>
      <c r="N11" s="129">
        <f t="shared" ref="N11:N18" si="0">IF((D11=$G$5)+OR(D11=""),$I11,0)</f>
        <v>0</v>
      </c>
      <c r="O11" s="124">
        <f t="shared" ref="O11:O18" si="1">IF(D11=$G$3,$I11,0)</f>
        <v>0.05</v>
      </c>
      <c r="P11" s="129">
        <f>IF((E11=$G$5)+OR(E11=""),$I11,0)</f>
        <v>0</v>
      </c>
      <c r="Q11" s="124">
        <f>IF(E11=$G$3,$I11,0)</f>
        <v>0.05</v>
      </c>
      <c r="R11" s="125"/>
      <c r="S11" s="126"/>
      <c r="T11"/>
      <c r="U11"/>
      <c r="V11"/>
    </row>
    <row r="12" spans="2:30" ht="24.95" customHeight="1">
      <c r="B12" s="160" t="s">
        <v>93</v>
      </c>
      <c r="C12" s="160" t="s">
        <v>3</v>
      </c>
      <c r="D12" s="160" t="s">
        <v>3</v>
      </c>
      <c r="E12" s="160" t="s">
        <v>3</v>
      </c>
      <c r="F12" s="127">
        <v>0.05</v>
      </c>
      <c r="G12" s="123"/>
      <c r="H12" s="123"/>
      <c r="I12" s="128">
        <f>F12</f>
        <v>0.05</v>
      </c>
      <c r="L12" s="129">
        <f t="shared" ref="L12:L30" si="2">IF((C12=$G$5)+OR(C12=""),$I12,0)</f>
        <v>0</v>
      </c>
      <c r="M12" s="124">
        <f t="shared" ref="M12:M18" si="3">IF(C12=$G$3,$I12,0)</f>
        <v>0.05</v>
      </c>
      <c r="N12" s="129">
        <f t="shared" si="0"/>
        <v>0</v>
      </c>
      <c r="O12" s="124">
        <f t="shared" si="1"/>
        <v>0.05</v>
      </c>
      <c r="P12" s="129">
        <f t="shared" ref="P12:P23" si="4">IF((E12=$G$5)+OR(E12=""),$I12,0)</f>
        <v>0</v>
      </c>
      <c r="Q12" s="124">
        <f t="shared" ref="Q12:Q23" si="5">IF(E12=$G$3,$I12,0)</f>
        <v>0.05</v>
      </c>
      <c r="R12" s="125"/>
      <c r="S12" s="126"/>
      <c r="T12"/>
      <c r="U12"/>
      <c r="V12"/>
    </row>
    <row r="13" spans="2:30" ht="24.95" customHeight="1">
      <c r="B13" s="160" t="s">
        <v>94</v>
      </c>
      <c r="C13" s="160" t="s">
        <v>3</v>
      </c>
      <c r="D13" s="160" t="s">
        <v>3</v>
      </c>
      <c r="E13" s="160" t="s">
        <v>3</v>
      </c>
      <c r="F13" s="107">
        <v>0.06</v>
      </c>
      <c r="G13" s="123"/>
      <c r="H13" s="123"/>
      <c r="I13" s="128">
        <f>F13</f>
        <v>0.06</v>
      </c>
      <c r="L13" s="129">
        <f t="shared" si="2"/>
        <v>0</v>
      </c>
      <c r="M13" s="124">
        <f>IF(C13=$G$3,$I13,0)</f>
        <v>0.06</v>
      </c>
      <c r="N13" s="129">
        <f>IF((D13=$G$5)+OR(D13=""),$I13,0)</f>
        <v>0</v>
      </c>
      <c r="O13" s="124">
        <f>IF(D13=$G$3,$I13,0)</f>
        <v>0.06</v>
      </c>
      <c r="P13" s="129">
        <f>IF((E13=$G$5)+OR(E13=""),$I13,0)</f>
        <v>0</v>
      </c>
      <c r="Q13" s="124">
        <f>IF(E13=$G$3,$I13,0)</f>
        <v>0.06</v>
      </c>
      <c r="R13" s="125"/>
      <c r="S13" s="126"/>
      <c r="T13"/>
      <c r="U13"/>
      <c r="V13"/>
    </row>
    <row r="14" spans="2:30" ht="24.95" customHeight="1">
      <c r="B14" s="130" t="s">
        <v>95</v>
      </c>
      <c r="C14" s="121"/>
      <c r="D14" s="121"/>
      <c r="E14" s="121"/>
      <c r="F14" s="101"/>
      <c r="G14" s="123"/>
      <c r="H14" s="123"/>
      <c r="I14" s="128">
        <f t="shared" ref="I14:I30" si="6">F14</f>
        <v>0</v>
      </c>
      <c r="L14" s="129">
        <f>IF((C14=$G$5)+OR(C14=""),$I14,0)</f>
        <v>0</v>
      </c>
      <c r="M14" s="124">
        <f t="shared" si="3"/>
        <v>0</v>
      </c>
      <c r="N14" s="129">
        <f t="shared" si="0"/>
        <v>0</v>
      </c>
      <c r="O14" s="124">
        <f t="shared" si="1"/>
        <v>0</v>
      </c>
      <c r="P14" s="129">
        <f t="shared" si="4"/>
        <v>0</v>
      </c>
      <c r="Q14" s="124">
        <f t="shared" si="5"/>
        <v>0</v>
      </c>
      <c r="R14" s="125"/>
      <c r="S14" s="126"/>
      <c r="T14"/>
      <c r="U14"/>
      <c r="V14"/>
    </row>
    <row r="15" spans="2:30" ht="24.95" customHeight="1">
      <c r="B15" s="160" t="s">
        <v>96</v>
      </c>
      <c r="C15" s="160" t="s">
        <v>3</v>
      </c>
      <c r="D15" s="160" t="s">
        <v>3</v>
      </c>
      <c r="E15" s="160" t="s">
        <v>3</v>
      </c>
      <c r="F15" s="103">
        <v>0.05</v>
      </c>
      <c r="G15" s="123"/>
      <c r="H15" s="131"/>
      <c r="I15" s="128">
        <f>F15</f>
        <v>0.05</v>
      </c>
      <c r="L15" s="129">
        <f t="shared" si="2"/>
        <v>0</v>
      </c>
      <c r="M15" s="124">
        <f t="shared" si="3"/>
        <v>0.05</v>
      </c>
      <c r="N15" s="129">
        <f t="shared" si="0"/>
        <v>0</v>
      </c>
      <c r="O15" s="124">
        <f t="shared" si="1"/>
        <v>0.05</v>
      </c>
      <c r="P15" s="129">
        <f t="shared" si="4"/>
        <v>0</v>
      </c>
      <c r="Q15" s="124">
        <f t="shared" si="5"/>
        <v>0.05</v>
      </c>
      <c r="R15" s="125"/>
      <c r="S15" s="126"/>
      <c r="T15"/>
      <c r="U15"/>
      <c r="V15"/>
    </row>
    <row r="16" spans="2:30" ht="24.95" customHeight="1">
      <c r="B16" s="160" t="s">
        <v>97</v>
      </c>
      <c r="C16" s="160" t="s">
        <v>3</v>
      </c>
      <c r="D16" s="160" t="s">
        <v>3</v>
      </c>
      <c r="E16" s="160" t="s">
        <v>3</v>
      </c>
      <c r="F16" s="127">
        <v>0.05</v>
      </c>
      <c r="G16" s="123"/>
      <c r="H16" s="131"/>
      <c r="I16" s="128">
        <f t="shared" si="6"/>
        <v>0.05</v>
      </c>
      <c r="L16" s="129">
        <f t="shared" si="2"/>
        <v>0</v>
      </c>
      <c r="M16" s="124">
        <f t="shared" si="3"/>
        <v>0.05</v>
      </c>
      <c r="N16" s="129">
        <f t="shared" si="0"/>
        <v>0</v>
      </c>
      <c r="O16" s="124">
        <f t="shared" si="1"/>
        <v>0.05</v>
      </c>
      <c r="P16" s="129">
        <f t="shared" si="4"/>
        <v>0</v>
      </c>
      <c r="Q16" s="124">
        <f t="shared" si="5"/>
        <v>0.05</v>
      </c>
      <c r="R16" s="125"/>
      <c r="S16" s="126"/>
      <c r="T16"/>
      <c r="U16"/>
      <c r="V16"/>
    </row>
    <row r="17" spans="1:22" s="74" customFormat="1" ht="24.95" customHeight="1">
      <c r="B17" s="160" t="s">
        <v>98</v>
      </c>
      <c r="C17" s="160" t="s">
        <v>3</v>
      </c>
      <c r="D17" s="160" t="s">
        <v>3</v>
      </c>
      <c r="E17" s="160" t="s">
        <v>3</v>
      </c>
      <c r="F17" s="132">
        <v>7.0000000000000007E-2</v>
      </c>
      <c r="G17" s="123"/>
      <c r="H17" s="123"/>
      <c r="I17" s="128">
        <f t="shared" si="6"/>
        <v>7.0000000000000007E-2</v>
      </c>
      <c r="J17" s="93"/>
      <c r="K17" s="93"/>
      <c r="L17" s="129">
        <f t="shared" si="2"/>
        <v>0</v>
      </c>
      <c r="M17" s="124">
        <f t="shared" si="3"/>
        <v>7.0000000000000007E-2</v>
      </c>
      <c r="N17" s="129">
        <f t="shared" si="0"/>
        <v>0</v>
      </c>
      <c r="O17" s="124">
        <f t="shared" si="1"/>
        <v>7.0000000000000007E-2</v>
      </c>
      <c r="P17" s="129">
        <f t="shared" si="4"/>
        <v>0</v>
      </c>
      <c r="Q17" s="124">
        <f t="shared" si="5"/>
        <v>7.0000000000000007E-2</v>
      </c>
      <c r="R17" s="125"/>
      <c r="S17" s="126"/>
    </row>
    <row r="18" spans="1:22" ht="36.6" customHeight="1">
      <c r="B18" s="160" t="s">
        <v>99</v>
      </c>
      <c r="C18" s="160" t="s">
        <v>3</v>
      </c>
      <c r="D18" s="160" t="s">
        <v>3</v>
      </c>
      <c r="E18" s="160" t="s">
        <v>3</v>
      </c>
      <c r="F18" s="103">
        <v>7.0000000000000007E-2</v>
      </c>
      <c r="G18" s="123"/>
      <c r="H18" s="123"/>
      <c r="I18" s="128">
        <f t="shared" si="6"/>
        <v>7.0000000000000007E-2</v>
      </c>
      <c r="L18" s="129">
        <f t="shared" si="2"/>
        <v>0</v>
      </c>
      <c r="M18" s="124">
        <f t="shared" si="3"/>
        <v>7.0000000000000007E-2</v>
      </c>
      <c r="N18" s="129">
        <f t="shared" si="0"/>
        <v>0</v>
      </c>
      <c r="O18" s="124">
        <f t="shared" si="1"/>
        <v>7.0000000000000007E-2</v>
      </c>
      <c r="P18" s="129">
        <f t="shared" si="4"/>
        <v>0</v>
      </c>
      <c r="Q18" s="124">
        <f t="shared" si="5"/>
        <v>7.0000000000000007E-2</v>
      </c>
      <c r="R18" s="125"/>
      <c r="S18" s="126"/>
      <c r="T18"/>
      <c r="U18"/>
      <c r="V18"/>
    </row>
    <row r="19" spans="1:22" ht="24.95" customHeight="1">
      <c r="A19" t="s">
        <v>100</v>
      </c>
      <c r="B19" s="133" t="s">
        <v>101</v>
      </c>
      <c r="C19" s="102"/>
      <c r="D19" s="102"/>
      <c r="E19" s="102"/>
      <c r="F19" s="134"/>
      <c r="G19" s="135"/>
      <c r="H19" s="136"/>
      <c r="I19" s="128">
        <f t="shared" si="6"/>
        <v>0</v>
      </c>
      <c r="L19" s="129">
        <f t="shared" si="2"/>
        <v>0</v>
      </c>
      <c r="M19" s="98"/>
      <c r="O19" s="98"/>
      <c r="Q19" s="98"/>
      <c r="R19" s="125"/>
      <c r="S19" s="126"/>
      <c r="T19"/>
      <c r="U19"/>
      <c r="V19"/>
    </row>
    <row r="20" spans="1:22" ht="24.95" customHeight="1">
      <c r="B20" s="160" t="s">
        <v>102</v>
      </c>
      <c r="C20" s="160" t="s">
        <v>3</v>
      </c>
      <c r="D20" s="160" t="s">
        <v>3</v>
      </c>
      <c r="E20" s="160" t="s">
        <v>3</v>
      </c>
      <c r="F20" s="127">
        <v>0.06</v>
      </c>
      <c r="G20" s="135"/>
      <c r="H20" s="136"/>
      <c r="I20" s="128">
        <f t="shared" si="6"/>
        <v>0.06</v>
      </c>
      <c r="L20" s="129">
        <f t="shared" si="2"/>
        <v>0</v>
      </c>
      <c r="M20" s="124">
        <f>IF(C20=$G$3,$I20,0)</f>
        <v>0.06</v>
      </c>
      <c r="N20" s="129">
        <f>IF((D20=$G$5)+OR(D20=""),$I20,0)</f>
        <v>0</v>
      </c>
      <c r="O20" s="124">
        <f>IF(D20=$G$3,$I20,0)</f>
        <v>0.06</v>
      </c>
      <c r="P20" s="129">
        <f t="shared" si="4"/>
        <v>0</v>
      </c>
      <c r="Q20" s="124">
        <f t="shared" si="5"/>
        <v>0.06</v>
      </c>
      <c r="R20" s="125"/>
      <c r="S20" s="126"/>
      <c r="T20"/>
      <c r="U20"/>
      <c r="V20"/>
    </row>
    <row r="21" spans="1:22" ht="30.6" customHeight="1">
      <c r="B21" s="160" t="s">
        <v>37</v>
      </c>
      <c r="C21" s="160" t="s">
        <v>4</v>
      </c>
      <c r="D21" s="160" t="s">
        <v>4</v>
      </c>
      <c r="E21" s="160" t="s">
        <v>4</v>
      </c>
      <c r="F21" s="127">
        <v>7.0000000000000007E-2</v>
      </c>
      <c r="G21" s="135"/>
      <c r="H21" s="136"/>
      <c r="I21" s="128">
        <f t="shared" si="6"/>
        <v>7.0000000000000007E-2</v>
      </c>
      <c r="L21" s="129">
        <f t="shared" si="2"/>
        <v>0</v>
      </c>
      <c r="M21" s="124">
        <f>IF(C21=$G$3,$I21,0)</f>
        <v>0</v>
      </c>
      <c r="N21" s="129">
        <f>IF((D21=$G$5)+OR(D21=""),$I21,0)</f>
        <v>0</v>
      </c>
      <c r="O21" s="124">
        <f>IF(D21=$G$3,$I21,0)</f>
        <v>0</v>
      </c>
      <c r="P21" s="129">
        <f t="shared" si="4"/>
        <v>0</v>
      </c>
      <c r="Q21" s="124">
        <f t="shared" si="5"/>
        <v>0</v>
      </c>
      <c r="R21" s="125"/>
      <c r="S21" s="126"/>
      <c r="T21"/>
      <c r="U21"/>
      <c r="V21"/>
    </row>
    <row r="22" spans="1:22" ht="33" customHeight="1">
      <c r="B22" s="160" t="s">
        <v>103</v>
      </c>
      <c r="C22" s="160" t="s">
        <v>3</v>
      </c>
      <c r="D22" s="160" t="s">
        <v>4</v>
      </c>
      <c r="E22" s="160" t="s">
        <v>3</v>
      </c>
      <c r="F22" s="107">
        <v>7.0000000000000007E-2</v>
      </c>
      <c r="G22" s="135"/>
      <c r="H22" s="136"/>
      <c r="I22" s="128">
        <f t="shared" si="6"/>
        <v>7.0000000000000007E-2</v>
      </c>
      <c r="L22" s="129">
        <f t="shared" si="2"/>
        <v>0</v>
      </c>
      <c r="M22" s="124">
        <f>IF(C22=$G$3,$I22,0)</f>
        <v>7.0000000000000007E-2</v>
      </c>
      <c r="N22" s="129">
        <f>IF((D22=$G$5)+OR(D22=""),$I22,0)</f>
        <v>0</v>
      </c>
      <c r="O22" s="124">
        <f>IF(D22=$G$3,$I22,0)</f>
        <v>0</v>
      </c>
      <c r="P22" s="129">
        <f t="shared" si="4"/>
        <v>0</v>
      </c>
      <c r="Q22" s="124">
        <f t="shared" si="5"/>
        <v>7.0000000000000007E-2</v>
      </c>
      <c r="R22" s="125"/>
      <c r="S22" s="126"/>
      <c r="T22"/>
      <c r="U22"/>
      <c r="V22"/>
    </row>
    <row r="23" spans="1:22" ht="24.95" customHeight="1">
      <c r="B23" s="160"/>
      <c r="C23" s="160" t="s">
        <v>3</v>
      </c>
      <c r="D23" s="160" t="s">
        <v>3</v>
      </c>
      <c r="E23" s="160" t="s">
        <v>3</v>
      </c>
      <c r="F23" s="127">
        <v>7.0000000000000007E-2</v>
      </c>
      <c r="G23" s="135"/>
      <c r="H23" s="136"/>
      <c r="I23" s="128">
        <f t="shared" si="6"/>
        <v>7.0000000000000007E-2</v>
      </c>
      <c r="L23" s="129">
        <f t="shared" si="2"/>
        <v>0</v>
      </c>
      <c r="M23" s="124">
        <f>IF(C23=$G$3,$I23,0)</f>
        <v>7.0000000000000007E-2</v>
      </c>
      <c r="N23" s="129">
        <f>IF((D23=$G$5)+OR(D23=""),$I23,0)</f>
        <v>0</v>
      </c>
      <c r="O23" s="124">
        <f>IF(D23=$G$3,$I23,0)</f>
        <v>7.0000000000000007E-2</v>
      </c>
      <c r="P23" s="129">
        <f t="shared" si="4"/>
        <v>0</v>
      </c>
      <c r="Q23" s="124">
        <f t="shared" si="5"/>
        <v>7.0000000000000007E-2</v>
      </c>
      <c r="R23" s="125"/>
      <c r="S23" s="126"/>
      <c r="T23"/>
      <c r="U23"/>
      <c r="V23"/>
    </row>
    <row r="24" spans="1:22" ht="24.95" customHeight="1">
      <c r="A24" t="s">
        <v>104</v>
      </c>
      <c r="B24" s="133" t="s">
        <v>13</v>
      </c>
      <c r="C24" s="102"/>
      <c r="D24" s="102"/>
      <c r="E24" s="102"/>
      <c r="F24" s="101"/>
      <c r="G24" s="137"/>
      <c r="H24" s="123"/>
      <c r="I24" s="128">
        <f t="shared" si="6"/>
        <v>0</v>
      </c>
      <c r="L24" s="129">
        <f t="shared" si="2"/>
        <v>0</v>
      </c>
      <c r="M24" s="98"/>
      <c r="O24" s="98"/>
      <c r="Q24" s="98"/>
      <c r="R24" s="125"/>
      <c r="S24" s="126"/>
      <c r="T24"/>
      <c r="U24"/>
      <c r="V24"/>
    </row>
    <row r="25" spans="1:22" ht="24.95" customHeight="1">
      <c r="B25" s="160" t="s">
        <v>105</v>
      </c>
      <c r="C25" s="160" t="s">
        <v>4</v>
      </c>
      <c r="D25" s="160" t="s">
        <v>4</v>
      </c>
      <c r="E25" s="160" t="s">
        <v>4</v>
      </c>
      <c r="F25" s="103">
        <v>0.06</v>
      </c>
      <c r="G25" s="106"/>
      <c r="H25" s="106"/>
      <c r="I25" s="138">
        <f t="shared" si="6"/>
        <v>0.06</v>
      </c>
      <c r="J25" s="139"/>
      <c r="K25" s="139"/>
      <c r="L25" s="140">
        <f t="shared" si="2"/>
        <v>0</v>
      </c>
      <c r="M25" s="141">
        <f>IF(C25=$G$3,$I25,0)</f>
        <v>0</v>
      </c>
      <c r="N25" s="140">
        <f>IF((D25=$G$5)+OR(D25=""),$I25,0)</f>
        <v>0</v>
      </c>
      <c r="O25" s="141">
        <f>IF(D25=$G$3,$I25,0)</f>
        <v>0</v>
      </c>
      <c r="P25" s="140">
        <f>IF((E25=$G$5)+OR(E25=""),$I25,0)</f>
        <v>0</v>
      </c>
      <c r="Q25" s="141">
        <f>IF(E25=$G$3,$I25,0)</f>
        <v>0</v>
      </c>
      <c r="R25" s="94"/>
      <c r="S25" s="95"/>
      <c r="T25"/>
      <c r="U25"/>
      <c r="V25"/>
    </row>
    <row r="26" spans="1:22" ht="24.95" customHeight="1">
      <c r="B26" s="160" t="s">
        <v>106</v>
      </c>
      <c r="C26" s="160" t="s">
        <v>3</v>
      </c>
      <c r="D26" s="160" t="s">
        <v>3</v>
      </c>
      <c r="E26" s="160" t="s">
        <v>3</v>
      </c>
      <c r="F26" s="107">
        <v>0.06</v>
      </c>
      <c r="G26" s="106"/>
      <c r="H26" s="106"/>
      <c r="I26" s="138">
        <f t="shared" si="6"/>
        <v>0.06</v>
      </c>
      <c r="J26" s="139"/>
      <c r="K26" s="139"/>
      <c r="L26" s="140">
        <f t="shared" si="2"/>
        <v>0</v>
      </c>
      <c r="M26" s="141">
        <f>IF(C26=$G$3,$I26,0)</f>
        <v>0.06</v>
      </c>
      <c r="N26" s="140">
        <f>IF((D26=$G$5)+OR(D26=""),$I26,0)</f>
        <v>0</v>
      </c>
      <c r="O26" s="141">
        <f>IF(D26=$G$3,$I26,0)</f>
        <v>0.06</v>
      </c>
      <c r="P26" s="140">
        <f>IF((E26=$G$5)+OR(E26=""),$I26,0)</f>
        <v>0</v>
      </c>
      <c r="Q26" s="141">
        <f>IF(E26=$G$3,$I26,0)</f>
        <v>0.06</v>
      </c>
      <c r="R26" s="94"/>
      <c r="S26" s="95"/>
      <c r="T26"/>
      <c r="U26"/>
      <c r="V26"/>
    </row>
    <row r="27" spans="1:22" ht="24.95" customHeight="1">
      <c r="B27" s="160" t="s">
        <v>107</v>
      </c>
      <c r="C27" s="160" t="s">
        <v>3</v>
      </c>
      <c r="D27" s="160" t="s">
        <v>4</v>
      </c>
      <c r="E27" s="160" t="s">
        <v>3</v>
      </c>
      <c r="F27" s="107">
        <v>0.06</v>
      </c>
      <c r="G27" s="106"/>
      <c r="H27" s="106"/>
      <c r="I27" s="138">
        <f t="shared" si="6"/>
        <v>0.06</v>
      </c>
      <c r="J27" s="139"/>
      <c r="K27" s="139"/>
      <c r="L27" s="140">
        <f t="shared" si="2"/>
        <v>0</v>
      </c>
      <c r="M27" s="141">
        <f>IF(C27=$G$3,$I27,0)</f>
        <v>0.06</v>
      </c>
      <c r="N27" s="140">
        <f>IF((D27=$G$5)+OR(D27=""),$I27,0)</f>
        <v>0</v>
      </c>
      <c r="O27" s="141">
        <f>IF(D27=$G$3,$I27,0)</f>
        <v>0</v>
      </c>
      <c r="P27" s="140">
        <f>IF((E27=$G$5)+OR(E27=""),$I27,0)</f>
        <v>0</v>
      </c>
      <c r="Q27" s="141">
        <f>IF(E27=$G$3,$I27,0)</f>
        <v>0.06</v>
      </c>
      <c r="R27" s="139"/>
      <c r="S27" s="95"/>
      <c r="T27"/>
      <c r="U27"/>
      <c r="V27"/>
    </row>
    <row r="28" spans="1:22" ht="24.95" customHeight="1">
      <c r="B28" s="160" t="s">
        <v>108</v>
      </c>
      <c r="C28" s="160" t="s">
        <v>3</v>
      </c>
      <c r="D28" s="160" t="s">
        <v>3</v>
      </c>
      <c r="E28" s="160" t="s">
        <v>3</v>
      </c>
      <c r="F28" s="107">
        <v>0.05</v>
      </c>
      <c r="G28" s="106"/>
      <c r="H28" s="106"/>
      <c r="I28" s="138">
        <f t="shared" si="6"/>
        <v>0.05</v>
      </c>
      <c r="J28" s="139"/>
      <c r="K28" s="139"/>
      <c r="L28" s="140">
        <f t="shared" si="2"/>
        <v>0</v>
      </c>
      <c r="M28" s="141">
        <f>IF(C28=$G$3,$I28,0)</f>
        <v>0.05</v>
      </c>
      <c r="N28" s="140">
        <f>IF((D28=$G$5)+OR(D28=""),$I28,0)</f>
        <v>0</v>
      </c>
      <c r="O28" s="141">
        <f>IF(D28=$G$3,$I28,0)</f>
        <v>0.05</v>
      </c>
      <c r="P28" s="140">
        <f>IF((E28=$G$5)+OR(E28=""),$I28,0)</f>
        <v>0</v>
      </c>
      <c r="Q28" s="141">
        <f>IF(E28=$G$3,$I28,0)</f>
        <v>0.05</v>
      </c>
      <c r="R28" s="139"/>
      <c r="S28" s="95"/>
      <c r="T28"/>
      <c r="U28"/>
      <c r="V28"/>
    </row>
    <row r="29" spans="1:22" ht="24.95" customHeight="1">
      <c r="B29" s="160" t="s">
        <v>110</v>
      </c>
      <c r="C29" s="160" t="s">
        <v>3</v>
      </c>
      <c r="D29" s="160" t="s">
        <v>3</v>
      </c>
      <c r="E29" s="160" t="s">
        <v>3</v>
      </c>
      <c r="F29" s="107">
        <v>0.05</v>
      </c>
      <c r="G29" s="106"/>
      <c r="H29" s="106"/>
      <c r="I29" s="138">
        <f t="shared" si="6"/>
        <v>0.05</v>
      </c>
      <c r="J29" s="139"/>
      <c r="K29" s="139"/>
      <c r="L29" s="140"/>
      <c r="M29" s="141"/>
      <c r="N29" s="140"/>
      <c r="O29" s="141"/>
      <c r="P29" s="140"/>
      <c r="Q29" s="141"/>
      <c r="R29" s="139"/>
      <c r="S29" s="95"/>
      <c r="T29"/>
      <c r="U29"/>
      <c r="V29"/>
    </row>
    <row r="30" spans="1:22" s="74" customFormat="1" ht="24.95" customHeight="1">
      <c r="B30" s="160" t="s">
        <v>109</v>
      </c>
      <c r="C30" s="160" t="s">
        <v>7</v>
      </c>
      <c r="D30" s="160" t="s">
        <v>7</v>
      </c>
      <c r="E30" s="160" t="s">
        <v>7</v>
      </c>
      <c r="F30" s="142">
        <v>0.05</v>
      </c>
      <c r="G30" s="123"/>
      <c r="H30" s="123"/>
      <c r="I30" s="128">
        <f t="shared" si="6"/>
        <v>0.05</v>
      </c>
      <c r="J30" s="93"/>
      <c r="K30" s="93"/>
      <c r="L30" s="129">
        <f t="shared" si="2"/>
        <v>0.05</v>
      </c>
      <c r="M30" s="124">
        <v>0.05</v>
      </c>
      <c r="N30" s="129">
        <v>0</v>
      </c>
      <c r="O30" s="124">
        <f>IF(D30=$G$3,$I30,0)</f>
        <v>0</v>
      </c>
      <c r="P30" s="124">
        <f>IF(E30=$G$3,$I30,0)</f>
        <v>0</v>
      </c>
      <c r="Q30" s="124">
        <f>IF(E30=$G$3,$I30,0)</f>
        <v>0</v>
      </c>
      <c r="R30" s="93"/>
      <c r="S30" s="126"/>
    </row>
    <row r="31" spans="1:22" ht="24.95" customHeight="1">
      <c r="B31" s="143" t="s">
        <v>14</v>
      </c>
      <c r="C31" s="99"/>
      <c r="D31" s="99"/>
      <c r="E31" s="99"/>
      <c r="F31" s="144"/>
      <c r="G31" s="137"/>
      <c r="H31" s="123"/>
      <c r="I31" s="136"/>
      <c r="M31" s="129">
        <f>M10*100</f>
        <v>82.000000000000028</v>
      </c>
      <c r="N31" s="129">
        <f>N10*100</f>
        <v>0</v>
      </c>
      <c r="O31" s="129">
        <f>O10*100</f>
        <v>64.000000000000014</v>
      </c>
      <c r="P31" s="129">
        <f>P10*100</f>
        <v>0</v>
      </c>
      <c r="Q31" s="129">
        <f>Q10*100</f>
        <v>100</v>
      </c>
      <c r="R31" s="94"/>
      <c r="S31" s="95"/>
      <c r="T31"/>
      <c r="U31"/>
      <c r="V31"/>
    </row>
    <row r="32" spans="1:22" ht="78.599999999999994" customHeight="1">
      <c r="B32" s="145"/>
      <c r="C32" s="146"/>
      <c r="D32" s="146"/>
      <c r="E32" s="146"/>
      <c r="F32" s="107"/>
      <c r="G32" s="147"/>
      <c r="H32" s="147"/>
      <c r="I32" s="147"/>
      <c r="J32"/>
      <c r="K32"/>
      <c r="L32"/>
      <c r="M32" s="139"/>
      <c r="N32" s="139"/>
      <c r="O32" s="139"/>
      <c r="P32" s="139"/>
      <c r="Q32" s="139"/>
      <c r="R32" s="140">
        <f>AVERAGE(Q31,O31,M31)</f>
        <v>82.000000000000014</v>
      </c>
      <c r="S32" s="126"/>
      <c r="T32"/>
      <c r="U32"/>
      <c r="V32"/>
    </row>
    <row r="33" spans="2:22" ht="90.95" customHeight="1">
      <c r="B33" s="145"/>
      <c r="C33" s="148"/>
      <c r="D33" s="148"/>
      <c r="E33" s="148"/>
      <c r="F33" s="142"/>
      <c r="G33" s="147"/>
      <c r="H33" s="147"/>
      <c r="I33" s="147"/>
      <c r="J33"/>
      <c r="K33"/>
      <c r="L33"/>
      <c r="M33" s="93">
        <v>100</v>
      </c>
      <c r="N33" s="93">
        <v>100</v>
      </c>
      <c r="O33" s="93">
        <v>100</v>
      </c>
      <c r="P33" s="93">
        <v>100</v>
      </c>
      <c r="Q33" s="93">
        <v>100</v>
      </c>
      <c r="R33" s="125"/>
      <c r="S33" s="126"/>
      <c r="T33"/>
      <c r="U33"/>
      <c r="V33"/>
    </row>
    <row r="34" spans="2:22" ht="18">
      <c r="B34" s="145"/>
      <c r="C34" s="149"/>
      <c r="D34" s="149"/>
      <c r="E34" s="149"/>
      <c r="F34" s="142"/>
      <c r="G34" s="147"/>
      <c r="H34" s="147"/>
      <c r="I34" s="147"/>
      <c r="J34"/>
      <c r="K34"/>
      <c r="L34"/>
      <c r="R34" s="125"/>
      <c r="S34" s="126"/>
      <c r="T34"/>
      <c r="U34"/>
      <c r="V34"/>
    </row>
    <row r="35" spans="2:22" ht="24.95" customHeight="1">
      <c r="B35" s="150"/>
      <c r="C35" s="151"/>
      <c r="D35" s="151"/>
      <c r="E35" s="151"/>
      <c r="F35" s="142"/>
      <c r="G35" s="147"/>
      <c r="H35" s="147"/>
      <c r="I35" s="147"/>
      <c r="J35"/>
      <c r="K35"/>
      <c r="L35"/>
      <c r="R35" s="125"/>
      <c r="S35" s="126"/>
      <c r="T35"/>
      <c r="U35"/>
      <c r="V35"/>
    </row>
    <row r="36" spans="2:22" ht="24.95" customHeight="1">
      <c r="B36" s="209" t="s">
        <v>13</v>
      </c>
      <c r="C36" s="210"/>
      <c r="D36" s="210"/>
      <c r="E36" s="211"/>
      <c r="F36" s="19"/>
      <c r="G36" s="137"/>
      <c r="H36" s="123"/>
      <c r="I36" s="123"/>
      <c r="J36" s="98"/>
      <c r="L36" s="139"/>
      <c r="M36" s="139"/>
      <c r="N36" s="139"/>
      <c r="O36" s="139"/>
      <c r="P36" s="139"/>
      <c r="Q36" s="139"/>
      <c r="T36"/>
      <c r="U36"/>
      <c r="V36"/>
    </row>
    <row r="37" spans="2:22" ht="24.95" customHeight="1">
      <c r="B37" s="14" t="s">
        <v>145</v>
      </c>
      <c r="C37" s="6"/>
      <c r="D37" s="6"/>
      <c r="E37" s="6"/>
      <c r="F37" s="2"/>
      <c r="G37" s="137"/>
      <c r="H37" s="123"/>
      <c r="I37" s="123"/>
      <c r="J37" s="98"/>
      <c r="L37" s="139"/>
      <c r="M37" s="139"/>
      <c r="N37" s="139"/>
      <c r="O37" s="139"/>
      <c r="P37" s="139"/>
      <c r="Q37" s="139"/>
      <c r="T37"/>
      <c r="U37"/>
      <c r="V37"/>
    </row>
    <row r="38" spans="2:22" ht="24.95" customHeight="1">
      <c r="B38" s="14" t="s">
        <v>146</v>
      </c>
      <c r="C38" s="6"/>
      <c r="D38" s="6"/>
      <c r="E38" s="6"/>
      <c r="F38" s="7"/>
      <c r="G38" s="137"/>
      <c r="H38" s="123"/>
      <c r="I38" s="123"/>
      <c r="J38" s="98"/>
      <c r="T38"/>
      <c r="U38"/>
      <c r="V38"/>
    </row>
    <row r="39" spans="2:22" ht="24.95" customHeight="1">
      <c r="B39" s="28"/>
      <c r="C39" s="6"/>
      <c r="D39" s="6"/>
      <c r="E39" s="6"/>
      <c r="F39" s="7"/>
      <c r="G39" s="152"/>
      <c r="T39"/>
      <c r="U39"/>
      <c r="V39"/>
    </row>
    <row r="40" spans="2:22" ht="24.95" customHeight="1">
      <c r="B40" s="212" t="s">
        <v>14</v>
      </c>
      <c r="C40" s="213"/>
      <c r="D40" s="213"/>
      <c r="E40" s="214"/>
      <c r="F40" s="9"/>
      <c r="G40" s="152"/>
      <c r="T40"/>
      <c r="U40"/>
      <c r="V40"/>
    </row>
    <row r="41" spans="2:22" ht="24.95" customHeight="1">
      <c r="B41" s="215"/>
      <c r="C41" s="216"/>
      <c r="D41" s="216"/>
      <c r="E41" s="217"/>
      <c r="F41" s="2"/>
      <c r="T41"/>
      <c r="U41"/>
      <c r="V41"/>
    </row>
    <row r="42" spans="2:22" ht="24.95" customHeight="1">
      <c r="B42" s="168"/>
      <c r="C42" s="169"/>
      <c r="D42" s="169"/>
      <c r="E42" s="170"/>
      <c r="F42" s="2"/>
      <c r="T42"/>
      <c r="U42"/>
      <c r="V42"/>
    </row>
    <row r="43" spans="2:22" ht="24.95" customHeight="1">
      <c r="B43" s="218"/>
      <c r="C43" s="219"/>
      <c r="D43" s="219"/>
      <c r="E43" s="220"/>
      <c r="F43" s="10"/>
      <c r="T43"/>
      <c r="U43"/>
      <c r="V43"/>
    </row>
    <row r="44" spans="2:22" ht="24.95" customHeight="1">
      <c r="B44" s="221" t="s">
        <v>15</v>
      </c>
      <c r="C44" s="222"/>
      <c r="D44" s="222"/>
      <c r="E44" s="223"/>
      <c r="F44" s="10"/>
      <c r="T44"/>
      <c r="U44"/>
      <c r="V44"/>
    </row>
    <row r="45" spans="2:22" ht="24.95" customHeight="1">
      <c r="B45" s="225" t="s">
        <v>147</v>
      </c>
      <c r="C45" s="226"/>
      <c r="D45" s="226"/>
      <c r="E45" s="227"/>
      <c r="F45" s="10"/>
      <c r="T45"/>
      <c r="U45"/>
      <c r="V45"/>
    </row>
    <row r="46" spans="2:22" ht="24.95" customHeight="1">
      <c r="B46" s="163" t="s">
        <v>148</v>
      </c>
      <c r="C46" s="164"/>
      <c r="D46" s="164"/>
      <c r="E46" s="165"/>
      <c r="F46" s="10"/>
      <c r="T46"/>
      <c r="U46"/>
      <c r="V46"/>
    </row>
    <row r="47" spans="2:22" ht="24.95" customHeight="1">
      <c r="B47" s="225" t="s">
        <v>149</v>
      </c>
      <c r="C47" s="226"/>
      <c r="D47" s="226"/>
      <c r="E47" s="227"/>
      <c r="F47" s="10"/>
      <c r="H47" s="92"/>
      <c r="I47" s="92"/>
      <c r="J47" s="139"/>
      <c r="K47" s="139"/>
      <c r="R47" s="139"/>
      <c r="S47"/>
      <c r="T47"/>
      <c r="U47"/>
      <c r="V47"/>
    </row>
    <row r="48" spans="2:22" ht="24.95" customHeight="1">
      <c r="B48" s="221" t="s">
        <v>16</v>
      </c>
      <c r="C48" s="222"/>
      <c r="D48" s="222"/>
      <c r="E48" s="223"/>
      <c r="F48" s="10"/>
      <c r="H48" s="92"/>
      <c r="I48" s="92"/>
      <c r="J48" s="139"/>
      <c r="K48" s="139"/>
      <c r="R48" s="139"/>
      <c r="S48"/>
      <c r="T48"/>
      <c r="U48"/>
      <c r="V48"/>
    </row>
    <row r="49" spans="2:22" ht="24.95" customHeight="1">
      <c r="B49" s="228" t="s">
        <v>150</v>
      </c>
      <c r="C49" s="229"/>
      <c r="D49" s="229"/>
      <c r="E49" s="230"/>
      <c r="F49" s="10"/>
      <c r="H49" s="92"/>
      <c r="I49" s="92"/>
      <c r="J49" s="139"/>
      <c r="K49" s="139"/>
      <c r="R49" s="139"/>
      <c r="S49"/>
      <c r="T49"/>
      <c r="U49"/>
      <c r="V49"/>
    </row>
    <row r="50" spans="2:22" ht="24.95" customHeight="1">
      <c r="B50" s="231" t="s">
        <v>151</v>
      </c>
      <c r="C50" s="231"/>
      <c r="D50" s="231"/>
      <c r="E50" s="231"/>
      <c r="F50" s="10"/>
      <c r="H50" s="92"/>
      <c r="I50" s="92"/>
      <c r="J50" s="139"/>
      <c r="K50" s="139"/>
      <c r="R50" s="139"/>
      <c r="S50"/>
      <c r="T50"/>
      <c r="U50"/>
      <c r="V50"/>
    </row>
    <row r="51" spans="2:22" s="74" customFormat="1" ht="24.95" customHeight="1">
      <c r="B51" s="224" t="s">
        <v>152</v>
      </c>
      <c r="C51" s="224"/>
      <c r="D51" s="224"/>
      <c r="E51" s="224"/>
      <c r="F51" s="23"/>
      <c r="G51" s="157"/>
      <c r="H51" s="152"/>
      <c r="I51" s="152"/>
      <c r="J51" s="93"/>
      <c r="K51" s="93"/>
      <c r="L51" s="93"/>
      <c r="M51" s="93"/>
      <c r="N51" s="93"/>
      <c r="O51" s="93"/>
      <c r="P51" s="93"/>
      <c r="Q51" s="93"/>
      <c r="R51" s="93"/>
    </row>
    <row r="52" spans="2:22" s="74" customFormat="1" ht="24.95" customHeight="1">
      <c r="B52" s="224"/>
      <c r="C52" s="224"/>
      <c r="D52" s="224"/>
      <c r="E52" s="224"/>
      <c r="F52" s="171"/>
      <c r="G52" s="157"/>
      <c r="H52" s="152"/>
      <c r="I52" s="152"/>
      <c r="J52" s="93"/>
      <c r="K52" s="93"/>
      <c r="L52" s="93"/>
      <c r="M52" s="93"/>
      <c r="N52" s="93"/>
      <c r="O52" s="93"/>
      <c r="P52" s="93"/>
      <c r="Q52" s="93"/>
      <c r="R52" s="93"/>
    </row>
    <row r="53" spans="2:22" s="74" customFormat="1" ht="24.95" customHeight="1">
      <c r="B53" s="155"/>
      <c r="C53" s="153"/>
      <c r="D53" s="153"/>
      <c r="E53" s="154"/>
      <c r="F53" s="156"/>
      <c r="G53" s="157"/>
      <c r="H53" s="152"/>
      <c r="I53" s="152"/>
      <c r="J53" s="93"/>
      <c r="K53" s="93"/>
      <c r="L53" s="93"/>
      <c r="M53" s="93"/>
      <c r="N53" s="93"/>
      <c r="O53" s="93"/>
      <c r="P53" s="93"/>
      <c r="Q53" s="93"/>
      <c r="R53" s="93"/>
    </row>
    <row r="54" spans="2:22" s="74" customFormat="1" ht="24.95" customHeight="1">
      <c r="B54" s="155"/>
      <c r="C54" s="153"/>
      <c r="D54" s="153"/>
      <c r="E54" s="154"/>
      <c r="F54" s="128"/>
      <c r="G54" s="157"/>
      <c r="H54" s="152"/>
      <c r="I54" s="152"/>
      <c r="J54" s="93"/>
      <c r="K54" s="93"/>
      <c r="L54" s="93"/>
      <c r="M54" s="93"/>
      <c r="N54" s="93"/>
      <c r="O54" s="93"/>
      <c r="P54" s="93"/>
      <c r="Q54" s="93"/>
      <c r="R54" s="93"/>
    </row>
    <row r="55" spans="2:22" s="74" customFormat="1" ht="24.95" customHeight="1">
      <c r="B55" s="155"/>
      <c r="C55" s="153"/>
      <c r="D55" s="153"/>
      <c r="E55" s="154"/>
      <c r="F55" s="128"/>
      <c r="G55" s="157"/>
      <c r="H55" s="152"/>
      <c r="I55" s="152"/>
      <c r="J55" s="93"/>
      <c r="K55" s="93"/>
      <c r="L55" s="93"/>
      <c r="M55" s="93"/>
      <c r="N55" s="93"/>
      <c r="O55" s="93"/>
      <c r="P55" s="93"/>
      <c r="Q55" s="93"/>
      <c r="R55" s="93"/>
    </row>
    <row r="56" spans="2:22" s="74" customFormat="1" ht="24.95" customHeight="1">
      <c r="B56" s="155"/>
      <c r="C56" s="153"/>
      <c r="D56" s="153"/>
      <c r="E56" s="154"/>
      <c r="F56" s="128"/>
      <c r="G56" s="157"/>
      <c r="H56" s="152"/>
      <c r="I56" s="152"/>
      <c r="J56" s="93"/>
      <c r="K56" s="93"/>
      <c r="L56" s="93"/>
      <c r="M56" s="93"/>
      <c r="N56" s="93"/>
      <c r="O56" s="93"/>
      <c r="P56" s="93"/>
      <c r="Q56" s="93"/>
      <c r="R56" s="93"/>
    </row>
    <row r="57" spans="2:22" s="74" customFormat="1" ht="24.95" customHeight="1">
      <c r="B57" s="155"/>
      <c r="C57" s="92"/>
      <c r="D57" s="92"/>
      <c r="E57" s="152"/>
      <c r="F57" s="128"/>
      <c r="G57" s="157"/>
      <c r="H57" s="152"/>
      <c r="I57" s="152"/>
      <c r="J57" s="93"/>
      <c r="K57" s="93"/>
      <c r="L57" s="93"/>
      <c r="M57" s="93"/>
      <c r="N57" s="93"/>
      <c r="O57" s="93"/>
      <c r="P57" s="93"/>
      <c r="Q57" s="93"/>
      <c r="R57" s="93"/>
    </row>
    <row r="58" spans="2:22" s="74" customFormat="1" ht="24.95" customHeight="1">
      <c r="B58" s="155"/>
      <c r="C58" s="92"/>
      <c r="D58" s="92"/>
      <c r="E58" s="152"/>
      <c r="F58" s="128"/>
      <c r="G58" s="157"/>
      <c r="H58" s="152"/>
      <c r="I58" s="152"/>
      <c r="J58" s="93"/>
      <c r="K58" s="93"/>
      <c r="L58" s="93"/>
      <c r="M58" s="93"/>
      <c r="N58" s="93"/>
      <c r="O58" s="93"/>
      <c r="P58" s="93"/>
      <c r="Q58" s="93"/>
      <c r="R58" s="93"/>
    </row>
    <row r="59" spans="2:22" s="74" customFormat="1" ht="24.95" customHeight="1">
      <c r="B59" s="155"/>
      <c r="C59" s="92"/>
      <c r="D59" s="92"/>
      <c r="E59" s="152"/>
      <c r="F59" s="128"/>
      <c r="G59" s="157"/>
      <c r="H59" s="152"/>
      <c r="I59" s="152"/>
      <c r="J59" s="93"/>
      <c r="K59" s="93"/>
      <c r="L59" s="93"/>
      <c r="M59" s="93"/>
      <c r="N59" s="93"/>
      <c r="O59" s="93"/>
      <c r="P59" s="93"/>
      <c r="Q59" s="93"/>
      <c r="R59" s="93"/>
    </row>
    <row r="60" spans="2:22" s="74" customFormat="1" ht="24.95" customHeight="1">
      <c r="B60" s="155"/>
      <c r="C60" s="92"/>
      <c r="D60" s="92"/>
      <c r="E60" s="152"/>
      <c r="F60" s="128"/>
      <c r="G60" s="157"/>
      <c r="H60" s="152"/>
      <c r="I60" s="152"/>
      <c r="J60" s="93"/>
      <c r="K60" s="93"/>
      <c r="L60" s="93"/>
      <c r="M60" s="93"/>
      <c r="N60" s="93"/>
      <c r="O60" s="93"/>
      <c r="P60" s="93"/>
      <c r="Q60" s="93"/>
      <c r="R60" s="93"/>
    </row>
    <row r="61" spans="2:22" s="74" customFormat="1" ht="24.95" customHeight="1">
      <c r="B61" s="155"/>
      <c r="C61" s="92"/>
      <c r="D61" s="92"/>
      <c r="E61" s="152"/>
      <c r="F61" s="128"/>
      <c r="G61" s="157"/>
      <c r="H61" s="152"/>
      <c r="I61" s="152"/>
      <c r="J61" s="93"/>
      <c r="K61" s="93"/>
      <c r="L61" s="93"/>
      <c r="M61" s="93"/>
      <c r="N61" s="93"/>
      <c r="O61" s="93"/>
      <c r="P61" s="93"/>
      <c r="Q61" s="93"/>
      <c r="R61" s="93"/>
    </row>
    <row r="62" spans="2:22" s="74" customFormat="1" ht="24.95" customHeight="1">
      <c r="B62" s="155"/>
      <c r="C62" s="92"/>
      <c r="D62" s="92"/>
      <c r="E62" s="152"/>
      <c r="F62" s="128"/>
      <c r="G62" s="157"/>
      <c r="H62" s="152"/>
      <c r="I62" s="152"/>
      <c r="J62" s="93"/>
      <c r="K62" s="93"/>
      <c r="L62" s="93"/>
      <c r="M62" s="93"/>
      <c r="N62" s="93"/>
      <c r="O62" s="93"/>
      <c r="P62" s="93"/>
      <c r="Q62" s="93"/>
      <c r="R62" s="93"/>
    </row>
    <row r="63" spans="2:22" s="74" customFormat="1" ht="24.95" customHeight="1">
      <c r="B63" s="155"/>
      <c r="C63" s="92"/>
      <c r="D63" s="92"/>
      <c r="E63" s="152"/>
      <c r="F63" s="128"/>
      <c r="G63" s="157"/>
      <c r="H63" s="152"/>
      <c r="I63" s="152"/>
      <c r="J63" s="93"/>
      <c r="K63" s="93"/>
      <c r="L63" s="93"/>
      <c r="M63" s="93"/>
      <c r="N63" s="93"/>
      <c r="O63" s="93"/>
      <c r="P63" s="93"/>
      <c r="Q63" s="93"/>
      <c r="R63" s="93"/>
    </row>
    <row r="64" spans="2:22" s="74" customFormat="1" ht="24.95" customHeight="1">
      <c r="B64" s="155"/>
      <c r="C64" s="92"/>
      <c r="D64" s="92"/>
      <c r="E64" s="152"/>
      <c r="F64" s="128"/>
      <c r="G64" s="157"/>
      <c r="H64" s="152"/>
      <c r="I64" s="152"/>
      <c r="J64" s="93"/>
      <c r="K64" s="93"/>
      <c r="L64" s="93"/>
      <c r="M64" s="93"/>
      <c r="N64" s="93"/>
      <c r="O64" s="93"/>
      <c r="P64" s="93"/>
      <c r="Q64" s="93"/>
      <c r="R64" s="93"/>
    </row>
    <row r="65" spans="2:18" s="74" customFormat="1" ht="24.95" customHeight="1">
      <c r="B65" s="155"/>
      <c r="C65" s="92"/>
      <c r="D65" s="92"/>
      <c r="E65" s="152"/>
      <c r="F65" s="128"/>
      <c r="G65" s="157"/>
      <c r="H65" s="152"/>
      <c r="I65" s="152"/>
      <c r="J65" s="93"/>
      <c r="K65" s="93"/>
      <c r="L65" s="93"/>
      <c r="M65" s="93"/>
      <c r="N65" s="93"/>
      <c r="O65" s="93"/>
      <c r="P65" s="93"/>
      <c r="Q65" s="93"/>
      <c r="R65" s="93"/>
    </row>
    <row r="66" spans="2:18" s="74" customFormat="1" ht="24.95" customHeight="1">
      <c r="B66" s="155"/>
      <c r="C66" s="92"/>
      <c r="D66" s="92"/>
      <c r="E66" s="152"/>
      <c r="F66" s="128"/>
      <c r="G66" s="157"/>
      <c r="H66" s="152"/>
      <c r="I66" s="152"/>
      <c r="J66" s="93"/>
      <c r="K66" s="93"/>
      <c r="L66" s="93"/>
      <c r="M66" s="93"/>
      <c r="N66" s="93"/>
      <c r="O66" s="93"/>
      <c r="P66" s="93"/>
      <c r="Q66" s="93"/>
      <c r="R66" s="93"/>
    </row>
    <row r="67" spans="2:18" s="74" customFormat="1" ht="24.95" customHeight="1">
      <c r="B67" s="155"/>
      <c r="C67" s="92"/>
      <c r="D67" s="92"/>
      <c r="E67" s="152"/>
      <c r="F67" s="128"/>
      <c r="G67" s="157"/>
      <c r="H67" s="152"/>
      <c r="I67" s="152"/>
      <c r="J67" s="93"/>
      <c r="K67" s="93"/>
      <c r="L67" s="93"/>
      <c r="M67" s="93"/>
      <c r="N67" s="93"/>
      <c r="O67" s="93"/>
      <c r="P67" s="93"/>
      <c r="Q67" s="93"/>
      <c r="R67" s="93"/>
    </row>
    <row r="68" spans="2:18" s="74" customFormat="1" ht="24.95" customHeight="1">
      <c r="B68" s="155"/>
      <c r="C68" s="92"/>
      <c r="D68" s="92"/>
      <c r="E68" s="152"/>
      <c r="F68" s="128"/>
      <c r="G68" s="157"/>
      <c r="H68" s="152"/>
      <c r="I68" s="152"/>
      <c r="J68" s="93"/>
      <c r="K68" s="93"/>
      <c r="L68" s="93"/>
      <c r="M68" s="93"/>
      <c r="N68" s="93"/>
      <c r="O68" s="93"/>
      <c r="P68" s="93"/>
      <c r="Q68" s="93"/>
      <c r="R68" s="93"/>
    </row>
    <row r="69" spans="2:18" s="74" customFormat="1" ht="24.95" customHeight="1">
      <c r="B69" s="155"/>
      <c r="C69" s="92"/>
      <c r="D69" s="92"/>
      <c r="E69" s="152"/>
      <c r="F69" s="128"/>
      <c r="G69" s="157"/>
      <c r="H69" s="152"/>
      <c r="I69" s="152"/>
      <c r="J69" s="93"/>
      <c r="K69" s="93"/>
      <c r="L69" s="93"/>
      <c r="M69" s="93"/>
      <c r="N69" s="93"/>
      <c r="O69" s="93"/>
      <c r="P69" s="93"/>
      <c r="Q69" s="93"/>
      <c r="R69" s="93"/>
    </row>
    <row r="70" spans="2:18" s="74" customFormat="1" ht="24.95" customHeight="1">
      <c r="B70" s="155"/>
      <c r="C70" s="92"/>
      <c r="D70" s="92"/>
      <c r="E70" s="152"/>
      <c r="F70" s="128"/>
      <c r="G70" s="157"/>
      <c r="H70" s="152"/>
      <c r="I70" s="152"/>
      <c r="J70" s="93"/>
      <c r="K70" s="93"/>
      <c r="L70" s="93"/>
      <c r="M70" s="93"/>
      <c r="N70" s="93"/>
      <c r="O70" s="93"/>
      <c r="P70" s="93"/>
      <c r="Q70" s="93"/>
      <c r="R70" s="93"/>
    </row>
    <row r="71" spans="2:18" s="74" customFormat="1" ht="24.95" customHeight="1">
      <c r="B71" s="155"/>
      <c r="C71" s="92"/>
      <c r="D71" s="92"/>
      <c r="E71" s="152"/>
      <c r="F71" s="128"/>
      <c r="G71" s="157"/>
      <c r="H71" s="152"/>
      <c r="I71" s="152"/>
      <c r="J71" s="93"/>
      <c r="K71" s="93"/>
      <c r="L71" s="93"/>
      <c r="M71" s="93"/>
      <c r="N71" s="93"/>
      <c r="O71" s="93"/>
      <c r="P71" s="93"/>
      <c r="Q71" s="93"/>
      <c r="R71" s="93"/>
    </row>
    <row r="72" spans="2:18" s="74" customFormat="1" ht="24.95" customHeight="1">
      <c r="B72" s="155"/>
      <c r="C72" s="92"/>
      <c r="D72" s="92"/>
      <c r="E72" s="152"/>
      <c r="F72" s="128"/>
      <c r="G72" s="157"/>
      <c r="H72" s="152"/>
      <c r="I72" s="152"/>
      <c r="J72" s="93"/>
      <c r="K72" s="93"/>
      <c r="L72" s="93"/>
      <c r="M72" s="93"/>
      <c r="N72" s="93"/>
      <c r="O72" s="93"/>
      <c r="P72" s="93"/>
      <c r="Q72" s="93"/>
      <c r="R72" s="93"/>
    </row>
    <row r="73" spans="2:18" s="74" customFormat="1" ht="24.95" customHeight="1">
      <c r="B73" s="155"/>
      <c r="C73" s="92"/>
      <c r="D73" s="92"/>
      <c r="E73" s="152"/>
      <c r="F73" s="128"/>
      <c r="G73" s="157"/>
      <c r="H73" s="152"/>
      <c r="I73" s="152"/>
      <c r="J73" s="93"/>
      <c r="K73" s="93"/>
      <c r="L73" s="93"/>
      <c r="M73" s="93"/>
      <c r="N73" s="93"/>
      <c r="O73" s="93"/>
      <c r="P73" s="93"/>
      <c r="Q73" s="93"/>
      <c r="R73" s="93"/>
    </row>
    <row r="74" spans="2:18" s="74" customFormat="1" ht="24.95" customHeight="1">
      <c r="B74" s="155"/>
      <c r="C74" s="92"/>
      <c r="D74" s="92"/>
      <c r="E74" s="152"/>
      <c r="F74" s="128"/>
      <c r="G74" s="157"/>
      <c r="H74" s="152"/>
      <c r="I74" s="152"/>
      <c r="J74" s="93"/>
      <c r="K74" s="93"/>
      <c r="L74" s="93"/>
      <c r="M74" s="93"/>
      <c r="N74" s="93"/>
      <c r="O74" s="93"/>
      <c r="P74" s="93"/>
      <c r="Q74" s="93"/>
      <c r="R74" s="93"/>
    </row>
    <row r="75" spans="2:18" s="74" customFormat="1" ht="24.95" customHeight="1">
      <c r="B75" s="155"/>
      <c r="C75" s="92"/>
      <c r="D75" s="92"/>
      <c r="E75" s="152"/>
      <c r="F75" s="158"/>
      <c r="G75" s="157"/>
      <c r="H75" s="152"/>
      <c r="I75" s="152"/>
      <c r="J75" s="93"/>
      <c r="K75" s="93"/>
      <c r="L75" s="93"/>
      <c r="M75" s="93"/>
      <c r="N75" s="93"/>
      <c r="O75" s="93"/>
      <c r="P75" s="93"/>
      <c r="Q75" s="93"/>
      <c r="R75" s="93"/>
    </row>
    <row r="76" spans="2:18" s="74" customFormat="1" ht="24.95" customHeight="1">
      <c r="B76" s="155"/>
      <c r="C76" s="92"/>
      <c r="D76" s="92"/>
      <c r="E76" s="152"/>
      <c r="F76" s="158"/>
      <c r="G76" s="157"/>
      <c r="H76" s="152"/>
      <c r="I76" s="152"/>
      <c r="J76" s="93"/>
      <c r="K76" s="93"/>
      <c r="L76" s="93"/>
      <c r="M76" s="93"/>
      <c r="N76" s="93"/>
      <c r="O76" s="93"/>
      <c r="P76" s="93"/>
      <c r="Q76" s="93"/>
      <c r="R76" s="93"/>
    </row>
    <row r="77" spans="2:18" s="74" customFormat="1" ht="24.95" customHeight="1">
      <c r="B77" s="155"/>
      <c r="C77" s="92"/>
      <c r="D77" s="92"/>
      <c r="E77" s="152"/>
      <c r="F77" s="158"/>
      <c r="G77" s="157"/>
      <c r="H77" s="152"/>
      <c r="I77" s="152"/>
      <c r="J77" s="93"/>
      <c r="K77" s="93"/>
      <c r="L77" s="93"/>
      <c r="M77" s="93"/>
      <c r="N77" s="93"/>
      <c r="O77" s="93"/>
      <c r="P77" s="93"/>
      <c r="Q77" s="93"/>
      <c r="R77" s="93"/>
    </row>
    <row r="78" spans="2:18" s="74" customFormat="1" ht="24.95" customHeight="1">
      <c r="B78" s="155"/>
      <c r="C78" s="92"/>
      <c r="D78" s="92"/>
      <c r="E78" s="152"/>
      <c r="F78" s="158"/>
      <c r="G78" s="157"/>
      <c r="H78" s="152"/>
      <c r="I78" s="152"/>
      <c r="J78" s="93"/>
      <c r="K78" s="93"/>
      <c r="L78" s="93"/>
      <c r="M78" s="93"/>
      <c r="N78" s="93"/>
      <c r="O78" s="93"/>
      <c r="P78" s="93"/>
      <c r="Q78" s="93"/>
      <c r="R78" s="93"/>
    </row>
    <row r="79" spans="2:18" s="74" customFormat="1" ht="24.95" customHeight="1">
      <c r="B79" s="155"/>
      <c r="C79" s="92"/>
      <c r="D79" s="92"/>
      <c r="E79" s="152"/>
      <c r="F79" s="158"/>
      <c r="G79" s="157"/>
      <c r="H79" s="152"/>
      <c r="I79" s="152"/>
      <c r="J79" s="93"/>
      <c r="K79" s="93"/>
      <c r="L79" s="93"/>
      <c r="M79" s="93"/>
      <c r="N79" s="93"/>
      <c r="O79" s="93"/>
      <c r="P79" s="93"/>
      <c r="Q79" s="93"/>
      <c r="R79" s="93"/>
    </row>
    <row r="80" spans="2:18" s="74" customFormat="1" ht="24.95" customHeight="1">
      <c r="B80" s="155"/>
      <c r="C80" s="92"/>
      <c r="D80" s="92"/>
      <c r="E80" s="152"/>
      <c r="F80" s="158"/>
      <c r="G80" s="157"/>
      <c r="H80" s="152"/>
      <c r="I80" s="152"/>
      <c r="J80" s="93"/>
      <c r="K80" s="93"/>
      <c r="L80" s="93"/>
      <c r="M80" s="93"/>
      <c r="N80" s="93"/>
      <c r="O80" s="93"/>
      <c r="P80" s="93"/>
      <c r="Q80" s="93"/>
      <c r="R80" s="93"/>
    </row>
    <row r="81" spans="2:18" s="74" customFormat="1" ht="24.95" customHeight="1">
      <c r="B81" s="155"/>
      <c r="C81" s="92"/>
      <c r="D81" s="92"/>
      <c r="E81" s="152"/>
      <c r="F81" s="158"/>
      <c r="G81" s="157"/>
      <c r="H81" s="152"/>
      <c r="I81" s="152"/>
      <c r="J81" s="93"/>
      <c r="K81" s="93"/>
      <c r="L81" s="93"/>
      <c r="M81" s="93"/>
      <c r="N81" s="93"/>
      <c r="O81" s="93"/>
      <c r="P81" s="93"/>
      <c r="Q81" s="93"/>
      <c r="R81" s="93"/>
    </row>
    <row r="82" spans="2:18" s="74" customFormat="1" ht="24.95" customHeight="1">
      <c r="B82" s="155"/>
      <c r="C82" s="92"/>
      <c r="D82" s="92"/>
      <c r="E82" s="152"/>
      <c r="F82" s="158"/>
      <c r="G82" s="157"/>
      <c r="H82" s="152"/>
      <c r="I82" s="152"/>
      <c r="J82" s="93"/>
      <c r="K82" s="93"/>
      <c r="L82" s="93"/>
      <c r="M82" s="93"/>
      <c r="N82" s="93"/>
      <c r="O82" s="93"/>
      <c r="P82" s="93"/>
      <c r="Q82" s="93"/>
      <c r="R82" s="93"/>
    </row>
    <row r="83" spans="2:18" s="74" customFormat="1" ht="24.95" customHeight="1">
      <c r="B83" s="155"/>
      <c r="C83" s="92"/>
      <c r="D83" s="92"/>
      <c r="E83" s="152"/>
      <c r="F83" s="158"/>
      <c r="G83" s="157"/>
      <c r="H83" s="152"/>
      <c r="I83" s="152"/>
      <c r="J83" s="93"/>
      <c r="K83" s="93"/>
      <c r="L83" s="93"/>
      <c r="M83" s="93"/>
      <c r="N83" s="93"/>
      <c r="O83" s="93"/>
      <c r="P83" s="93"/>
      <c r="Q83" s="93"/>
      <c r="R83" s="93"/>
    </row>
    <row r="84" spans="2:18" s="74" customFormat="1" ht="24.95" customHeight="1">
      <c r="B84" s="155"/>
      <c r="C84" s="92"/>
      <c r="D84" s="92"/>
      <c r="E84" s="152"/>
      <c r="F84" s="158"/>
      <c r="G84" s="157"/>
      <c r="H84" s="152"/>
      <c r="I84" s="152"/>
      <c r="J84" s="93"/>
      <c r="K84" s="93"/>
      <c r="L84" s="93"/>
      <c r="M84" s="93"/>
      <c r="N84" s="93"/>
      <c r="O84" s="93"/>
      <c r="P84" s="93"/>
      <c r="Q84" s="93"/>
      <c r="R84" s="93"/>
    </row>
    <row r="85" spans="2:18" s="74" customFormat="1" ht="24.95" customHeight="1">
      <c r="B85" s="155"/>
      <c r="C85" s="92"/>
      <c r="D85" s="92"/>
      <c r="E85" s="152"/>
      <c r="F85" s="158"/>
      <c r="G85" s="157"/>
      <c r="H85" s="152"/>
      <c r="I85" s="152"/>
      <c r="J85" s="93"/>
      <c r="K85" s="93"/>
      <c r="L85" s="93"/>
      <c r="M85" s="93"/>
      <c r="N85" s="93"/>
      <c r="O85" s="93"/>
      <c r="P85" s="93"/>
      <c r="Q85" s="93"/>
      <c r="R85" s="93"/>
    </row>
    <row r="86" spans="2:18" s="74" customFormat="1" ht="24.95" customHeight="1">
      <c r="B86" s="155"/>
      <c r="C86" s="92"/>
      <c r="D86" s="92"/>
      <c r="E86" s="152"/>
      <c r="F86" s="158"/>
      <c r="G86" s="157"/>
      <c r="H86" s="152"/>
      <c r="I86" s="152"/>
      <c r="J86" s="93"/>
      <c r="K86" s="93"/>
      <c r="L86" s="93"/>
      <c r="M86" s="93"/>
      <c r="N86" s="93"/>
      <c r="O86" s="93"/>
      <c r="P86" s="93"/>
      <c r="Q86" s="93"/>
      <c r="R86" s="93"/>
    </row>
    <row r="87" spans="2:18" s="74" customFormat="1" ht="24.95" customHeight="1">
      <c r="B87" s="155"/>
      <c r="C87" s="92"/>
      <c r="D87" s="92"/>
      <c r="E87" s="152"/>
      <c r="F87" s="158"/>
      <c r="G87" s="157"/>
      <c r="H87" s="152"/>
      <c r="I87" s="152"/>
      <c r="J87" s="93"/>
      <c r="K87" s="93"/>
      <c r="L87" s="93"/>
      <c r="M87" s="93"/>
      <c r="N87" s="93"/>
      <c r="O87" s="93"/>
      <c r="P87" s="93"/>
      <c r="Q87" s="93"/>
      <c r="R87" s="93"/>
    </row>
    <row r="88" spans="2:18" s="74" customFormat="1" ht="24.95" customHeight="1">
      <c r="B88" s="155"/>
      <c r="C88" s="92"/>
      <c r="D88" s="92"/>
      <c r="E88" s="152"/>
      <c r="F88" s="158"/>
      <c r="G88" s="157"/>
      <c r="H88" s="152"/>
      <c r="I88" s="152"/>
      <c r="J88" s="93"/>
      <c r="K88" s="93"/>
      <c r="L88" s="93"/>
      <c r="M88" s="93"/>
      <c r="N88" s="93"/>
      <c r="O88" s="93"/>
      <c r="P88" s="93"/>
      <c r="Q88" s="93"/>
      <c r="R88" s="93"/>
    </row>
    <row r="89" spans="2:18" s="74" customFormat="1" ht="24.95" customHeight="1">
      <c r="B89" s="155"/>
      <c r="C89" s="92"/>
      <c r="D89" s="92"/>
      <c r="E89" s="152"/>
      <c r="F89" s="158"/>
      <c r="G89" s="157"/>
      <c r="H89" s="152"/>
      <c r="I89" s="152"/>
      <c r="J89" s="93"/>
      <c r="K89" s="93"/>
      <c r="L89" s="93"/>
      <c r="M89" s="93"/>
      <c r="N89" s="93"/>
      <c r="O89" s="93"/>
      <c r="P89" s="93"/>
      <c r="Q89" s="93"/>
      <c r="R89" s="93"/>
    </row>
    <row r="90" spans="2:18" s="74" customFormat="1" ht="24.95" customHeight="1">
      <c r="B90" s="155"/>
      <c r="C90" s="92"/>
      <c r="D90" s="92"/>
      <c r="E90" s="152"/>
      <c r="F90" s="158"/>
      <c r="G90" s="157"/>
      <c r="H90" s="152"/>
      <c r="I90" s="152"/>
      <c r="J90" s="93"/>
      <c r="K90" s="93"/>
      <c r="L90" s="93"/>
      <c r="M90" s="93"/>
      <c r="N90" s="93"/>
      <c r="O90" s="93"/>
      <c r="P90" s="93"/>
      <c r="Q90" s="93"/>
      <c r="R90" s="93"/>
    </row>
    <row r="91" spans="2:18" s="74" customFormat="1" ht="24.95" customHeight="1">
      <c r="B91" s="155"/>
      <c r="C91" s="92"/>
      <c r="D91" s="92"/>
      <c r="E91" s="152"/>
      <c r="F91" s="158"/>
      <c r="G91" s="157"/>
      <c r="H91" s="152"/>
      <c r="I91" s="152"/>
      <c r="J91" s="93"/>
      <c r="K91" s="93"/>
      <c r="L91" s="93"/>
      <c r="M91" s="93"/>
      <c r="N91" s="93"/>
      <c r="O91" s="93"/>
      <c r="P91" s="93"/>
      <c r="Q91" s="93"/>
      <c r="R91" s="93"/>
    </row>
    <row r="92" spans="2:18" s="74" customFormat="1" ht="24.95" customHeight="1">
      <c r="B92" s="155"/>
      <c r="C92" s="92"/>
      <c r="D92" s="92"/>
      <c r="E92" s="152"/>
      <c r="F92" s="158"/>
      <c r="G92" s="157"/>
      <c r="H92" s="152"/>
      <c r="I92" s="152"/>
      <c r="J92" s="93"/>
      <c r="K92" s="93"/>
      <c r="L92" s="93"/>
      <c r="M92" s="93"/>
      <c r="N92" s="93"/>
      <c r="O92" s="93"/>
      <c r="P92" s="93"/>
      <c r="Q92" s="93"/>
      <c r="R92" s="93"/>
    </row>
    <row r="93" spans="2:18" s="74" customFormat="1" ht="24.95" customHeight="1">
      <c r="B93" s="155"/>
      <c r="C93" s="92"/>
      <c r="D93" s="92"/>
      <c r="E93" s="152"/>
      <c r="F93" s="158"/>
      <c r="G93" s="157"/>
      <c r="H93" s="152"/>
      <c r="I93" s="152"/>
      <c r="J93" s="93"/>
      <c r="K93" s="93"/>
      <c r="L93" s="93"/>
      <c r="M93" s="93"/>
      <c r="N93" s="93"/>
      <c r="O93" s="93"/>
      <c r="P93" s="93"/>
      <c r="Q93" s="93"/>
      <c r="R93" s="93"/>
    </row>
    <row r="94" spans="2:18" s="74" customFormat="1" ht="24.95" customHeight="1">
      <c r="B94" s="155"/>
      <c r="C94" s="92"/>
      <c r="D94" s="92"/>
      <c r="E94" s="152"/>
      <c r="F94" s="158"/>
      <c r="G94" s="157"/>
      <c r="H94" s="152"/>
      <c r="I94" s="152"/>
      <c r="J94" s="93"/>
      <c r="K94" s="93"/>
      <c r="L94" s="93"/>
      <c r="M94" s="93"/>
      <c r="N94" s="93"/>
      <c r="O94" s="93"/>
      <c r="P94" s="93"/>
      <c r="Q94" s="93"/>
      <c r="R94" s="93"/>
    </row>
    <row r="95" spans="2:18" s="74" customFormat="1" ht="24.95" customHeight="1">
      <c r="B95" s="155"/>
      <c r="C95" s="92"/>
      <c r="D95" s="92"/>
      <c r="E95" s="152"/>
      <c r="F95" s="158"/>
      <c r="G95" s="157"/>
      <c r="H95" s="152"/>
      <c r="I95" s="152"/>
      <c r="J95" s="93"/>
      <c r="K95" s="93"/>
      <c r="L95" s="93"/>
      <c r="M95" s="93"/>
      <c r="N95" s="93"/>
      <c r="O95" s="93"/>
      <c r="P95" s="93"/>
      <c r="Q95" s="93"/>
      <c r="R95" s="93"/>
    </row>
    <row r="96" spans="2:18" s="74" customFormat="1" ht="24.95" customHeight="1">
      <c r="B96" s="155"/>
      <c r="C96" s="92"/>
      <c r="D96" s="92"/>
      <c r="E96" s="152"/>
      <c r="F96" s="158"/>
      <c r="G96" s="157"/>
      <c r="H96" s="152"/>
      <c r="I96" s="152"/>
      <c r="J96" s="93"/>
      <c r="K96" s="93"/>
      <c r="L96" s="93"/>
      <c r="M96" s="93"/>
      <c r="N96" s="93"/>
      <c r="O96" s="93"/>
      <c r="P96" s="93"/>
      <c r="Q96" s="93"/>
      <c r="R96" s="93"/>
    </row>
    <row r="97" spans="2:18" s="74" customFormat="1" ht="24.95" customHeight="1">
      <c r="B97" s="155"/>
      <c r="C97" s="92"/>
      <c r="D97" s="92"/>
      <c r="E97" s="152"/>
      <c r="F97" s="158"/>
      <c r="G97" s="157"/>
      <c r="H97" s="152"/>
      <c r="I97" s="152"/>
      <c r="J97" s="93"/>
      <c r="K97" s="93"/>
      <c r="L97" s="93"/>
      <c r="M97" s="93"/>
      <c r="N97" s="93"/>
      <c r="O97" s="93"/>
      <c r="P97" s="93"/>
      <c r="Q97" s="93"/>
      <c r="R97" s="93"/>
    </row>
    <row r="98" spans="2:18" s="74" customFormat="1" ht="24.95" customHeight="1">
      <c r="B98" s="155"/>
      <c r="C98" s="92"/>
      <c r="D98" s="92"/>
      <c r="E98" s="152"/>
      <c r="F98" s="158"/>
      <c r="G98" s="157"/>
      <c r="H98" s="152"/>
      <c r="I98" s="152"/>
      <c r="J98" s="93"/>
      <c r="K98" s="93"/>
      <c r="L98" s="93"/>
      <c r="M98" s="93"/>
      <c r="N98" s="93"/>
      <c r="O98" s="93"/>
      <c r="P98" s="93"/>
      <c r="Q98" s="93"/>
      <c r="R98" s="93"/>
    </row>
    <row r="99" spans="2:18" s="74" customFormat="1" ht="24.95" customHeight="1">
      <c r="B99" s="155"/>
      <c r="C99" s="92"/>
      <c r="D99" s="92"/>
      <c r="E99" s="152"/>
      <c r="F99" s="158"/>
      <c r="G99" s="157"/>
      <c r="H99" s="152"/>
      <c r="I99" s="152"/>
      <c r="J99" s="93"/>
      <c r="K99" s="93"/>
      <c r="L99" s="93"/>
      <c r="M99" s="93"/>
      <c r="N99" s="93"/>
      <c r="O99" s="93"/>
      <c r="P99" s="93"/>
      <c r="Q99" s="93"/>
      <c r="R99" s="93"/>
    </row>
    <row r="100" spans="2:18" s="74" customFormat="1" ht="24.95" customHeight="1">
      <c r="B100" s="155"/>
      <c r="C100" s="92"/>
      <c r="D100" s="92"/>
      <c r="E100" s="152"/>
      <c r="F100" s="158"/>
      <c r="G100" s="157"/>
      <c r="H100" s="152"/>
      <c r="I100" s="152"/>
      <c r="J100" s="93"/>
      <c r="K100" s="93"/>
      <c r="L100" s="93"/>
      <c r="M100" s="93"/>
      <c r="N100" s="93"/>
      <c r="O100" s="93"/>
      <c r="P100" s="93"/>
      <c r="Q100" s="93"/>
      <c r="R100" s="93"/>
    </row>
    <row r="101" spans="2:18" s="74" customFormat="1" ht="24.95" customHeight="1">
      <c r="B101" s="155"/>
      <c r="C101" s="92"/>
      <c r="D101" s="92"/>
      <c r="E101" s="152"/>
      <c r="F101" s="158"/>
      <c r="G101" s="157"/>
      <c r="H101" s="152"/>
      <c r="I101" s="152"/>
      <c r="J101" s="93"/>
      <c r="K101" s="93"/>
      <c r="L101" s="93"/>
      <c r="M101" s="93"/>
      <c r="N101" s="93"/>
      <c r="O101" s="93"/>
      <c r="P101" s="93"/>
      <c r="Q101" s="93"/>
      <c r="R101" s="93"/>
    </row>
    <row r="102" spans="2:18" s="74" customFormat="1" ht="24.95" customHeight="1">
      <c r="B102" s="155"/>
      <c r="C102" s="92"/>
      <c r="D102" s="92"/>
      <c r="E102" s="152"/>
      <c r="F102" s="158"/>
      <c r="G102" s="157"/>
      <c r="H102" s="152"/>
      <c r="I102" s="152"/>
      <c r="J102" s="93"/>
      <c r="K102" s="93"/>
      <c r="L102" s="93"/>
      <c r="M102" s="93"/>
      <c r="N102" s="93"/>
      <c r="O102" s="93"/>
      <c r="P102" s="93"/>
      <c r="Q102" s="93"/>
      <c r="R102" s="93"/>
    </row>
    <row r="103" spans="2:18" s="74" customFormat="1" ht="24.95" customHeight="1">
      <c r="B103" s="155"/>
      <c r="C103" s="92"/>
      <c r="D103" s="92"/>
      <c r="E103" s="152"/>
      <c r="F103" s="158"/>
      <c r="G103" s="157"/>
      <c r="H103" s="152"/>
      <c r="I103" s="152"/>
      <c r="J103" s="93"/>
      <c r="K103" s="93"/>
      <c r="L103" s="93"/>
      <c r="M103" s="93"/>
      <c r="N103" s="93"/>
      <c r="O103" s="93"/>
      <c r="P103" s="93"/>
      <c r="Q103" s="93"/>
      <c r="R103" s="93"/>
    </row>
    <row r="104" spans="2:18" s="74" customFormat="1" ht="24.95" customHeight="1">
      <c r="B104" s="155"/>
      <c r="C104" s="92"/>
      <c r="D104" s="92"/>
      <c r="E104" s="152"/>
      <c r="F104" s="158"/>
      <c r="G104" s="157"/>
      <c r="H104" s="152"/>
      <c r="I104" s="152"/>
      <c r="J104" s="93"/>
      <c r="K104" s="93"/>
      <c r="L104" s="93"/>
      <c r="M104" s="93"/>
      <c r="N104" s="93"/>
      <c r="O104" s="93"/>
      <c r="P104" s="93"/>
      <c r="Q104" s="93"/>
      <c r="R104" s="93"/>
    </row>
    <row r="105" spans="2:18" s="74" customFormat="1" ht="24.95" customHeight="1">
      <c r="B105" s="155"/>
      <c r="C105" s="92"/>
      <c r="D105" s="92"/>
      <c r="E105" s="152"/>
      <c r="F105" s="158"/>
      <c r="G105" s="157"/>
      <c r="H105" s="152"/>
      <c r="I105" s="152"/>
      <c r="J105" s="93"/>
      <c r="K105" s="93"/>
      <c r="L105" s="93"/>
      <c r="M105" s="93"/>
      <c r="N105" s="93"/>
      <c r="O105" s="93"/>
      <c r="P105" s="93"/>
      <c r="Q105" s="93"/>
      <c r="R105" s="93"/>
    </row>
    <row r="106" spans="2:18" s="74" customFormat="1" ht="24.95" customHeight="1">
      <c r="B106" s="155"/>
      <c r="C106" s="92"/>
      <c r="D106" s="92"/>
      <c r="E106" s="152"/>
      <c r="F106" s="158"/>
      <c r="G106" s="157"/>
      <c r="H106" s="152"/>
      <c r="I106" s="152"/>
      <c r="J106" s="93"/>
      <c r="K106" s="93"/>
      <c r="L106" s="93"/>
      <c r="M106" s="93"/>
      <c r="N106" s="93"/>
      <c r="O106" s="93"/>
      <c r="P106" s="93"/>
      <c r="Q106" s="93"/>
      <c r="R106" s="93"/>
    </row>
    <row r="107" spans="2:18" s="74" customFormat="1" ht="24.95" customHeight="1">
      <c r="B107" s="155"/>
      <c r="C107" s="92"/>
      <c r="D107" s="92"/>
      <c r="E107" s="152"/>
      <c r="F107" s="158"/>
      <c r="G107" s="157"/>
      <c r="H107" s="152"/>
      <c r="I107" s="152"/>
      <c r="J107" s="93"/>
      <c r="K107" s="93"/>
      <c r="L107" s="93"/>
      <c r="M107" s="93"/>
      <c r="N107" s="93"/>
      <c r="O107" s="93"/>
      <c r="P107" s="93"/>
      <c r="Q107" s="93"/>
      <c r="R107" s="93"/>
    </row>
    <row r="108" spans="2:18" s="74" customFormat="1" ht="24.95" customHeight="1">
      <c r="B108" s="155"/>
      <c r="C108" s="92"/>
      <c r="D108" s="92"/>
      <c r="E108" s="152"/>
      <c r="F108" s="158"/>
      <c r="G108" s="157"/>
      <c r="H108" s="152"/>
      <c r="I108" s="152"/>
      <c r="J108" s="93"/>
      <c r="K108" s="93"/>
      <c r="L108" s="93"/>
      <c r="M108" s="93"/>
      <c r="N108" s="93"/>
      <c r="O108" s="93"/>
      <c r="P108" s="93"/>
      <c r="Q108" s="93"/>
      <c r="R108" s="93"/>
    </row>
    <row r="109" spans="2:18" s="74" customFormat="1" ht="24.95" customHeight="1">
      <c r="B109" s="155"/>
      <c r="C109" s="92"/>
      <c r="D109" s="92"/>
      <c r="E109" s="152"/>
      <c r="F109" s="158"/>
      <c r="G109" s="157"/>
      <c r="H109" s="152"/>
      <c r="I109" s="152"/>
      <c r="J109" s="93"/>
      <c r="K109" s="93"/>
      <c r="L109" s="93"/>
      <c r="M109" s="93"/>
      <c r="N109" s="93"/>
      <c r="O109" s="93"/>
      <c r="P109" s="93"/>
      <c r="Q109" s="93"/>
      <c r="R109" s="93"/>
    </row>
    <row r="110" spans="2:18" s="74" customFormat="1" ht="24.95" customHeight="1">
      <c r="B110" s="155"/>
      <c r="C110" s="92"/>
      <c r="D110" s="92"/>
      <c r="E110" s="152"/>
      <c r="F110" s="158"/>
      <c r="G110" s="157"/>
      <c r="H110" s="152"/>
      <c r="I110" s="152"/>
      <c r="J110" s="93"/>
      <c r="K110" s="93"/>
      <c r="L110" s="93"/>
      <c r="M110" s="93"/>
      <c r="N110" s="93"/>
      <c r="O110" s="93"/>
      <c r="P110" s="93"/>
      <c r="Q110" s="93"/>
      <c r="R110" s="93"/>
    </row>
    <row r="111" spans="2:18" s="74" customFormat="1" ht="24.95" customHeight="1">
      <c r="B111" s="155"/>
      <c r="C111" s="92"/>
      <c r="D111" s="92"/>
      <c r="E111" s="152"/>
      <c r="F111" s="158"/>
      <c r="G111" s="157"/>
      <c r="H111" s="152"/>
      <c r="I111" s="152"/>
      <c r="J111" s="93"/>
      <c r="K111" s="93"/>
      <c r="L111" s="93"/>
      <c r="M111" s="93"/>
      <c r="N111" s="93"/>
      <c r="O111" s="93"/>
      <c r="P111" s="93"/>
      <c r="Q111" s="93"/>
      <c r="R111" s="93"/>
    </row>
    <row r="112" spans="2:18" s="74" customFormat="1" ht="24.95" customHeight="1">
      <c r="B112" s="155"/>
      <c r="C112" s="92"/>
      <c r="D112" s="92"/>
      <c r="E112" s="152"/>
      <c r="F112" s="158"/>
      <c r="G112" s="157"/>
      <c r="H112" s="152"/>
      <c r="I112" s="152"/>
      <c r="J112" s="93"/>
      <c r="K112" s="93"/>
      <c r="L112" s="93"/>
      <c r="M112" s="93"/>
      <c r="N112" s="93"/>
      <c r="O112" s="93"/>
      <c r="P112" s="93"/>
      <c r="Q112" s="93"/>
      <c r="R112" s="93"/>
    </row>
    <row r="113" spans="2:18" s="74" customFormat="1" ht="24.95" customHeight="1">
      <c r="B113" s="155"/>
      <c r="C113" s="92"/>
      <c r="D113" s="92"/>
      <c r="E113" s="152"/>
      <c r="F113" s="158"/>
      <c r="G113" s="157"/>
      <c r="H113" s="152"/>
      <c r="I113" s="152"/>
      <c r="J113" s="93"/>
      <c r="K113" s="93"/>
      <c r="L113" s="93"/>
      <c r="M113" s="93"/>
      <c r="N113" s="93"/>
      <c r="O113" s="93"/>
      <c r="P113" s="93"/>
      <c r="Q113" s="93"/>
      <c r="R113" s="93"/>
    </row>
    <row r="114" spans="2:18" s="74" customFormat="1" ht="24.95" customHeight="1">
      <c r="B114" s="155"/>
      <c r="C114" s="92"/>
      <c r="D114" s="92"/>
      <c r="E114" s="152"/>
      <c r="F114" s="158"/>
      <c r="G114" s="157"/>
      <c r="H114" s="152"/>
      <c r="I114" s="152"/>
      <c r="J114" s="93"/>
      <c r="K114" s="93"/>
      <c r="L114" s="93"/>
      <c r="M114" s="93"/>
      <c r="N114" s="93"/>
      <c r="O114" s="93"/>
      <c r="P114" s="93"/>
      <c r="Q114" s="93"/>
      <c r="R114" s="93"/>
    </row>
    <row r="115" spans="2:18" s="74" customFormat="1" ht="24.95" customHeight="1">
      <c r="B115" s="155"/>
      <c r="C115" s="92"/>
      <c r="D115" s="92"/>
      <c r="E115" s="152"/>
      <c r="F115" s="158"/>
      <c r="G115" s="157"/>
      <c r="H115" s="152"/>
      <c r="I115" s="152"/>
      <c r="J115" s="93"/>
      <c r="K115" s="93"/>
      <c r="L115" s="93"/>
      <c r="M115" s="93"/>
      <c r="N115" s="93"/>
      <c r="O115" s="93"/>
      <c r="P115" s="93"/>
      <c r="Q115" s="93"/>
      <c r="R115" s="93"/>
    </row>
    <row r="116" spans="2:18" s="74" customFormat="1" ht="24.95" customHeight="1">
      <c r="B116" s="155"/>
      <c r="C116" s="92"/>
      <c r="D116" s="92"/>
      <c r="E116" s="152"/>
      <c r="F116" s="158"/>
      <c r="G116" s="157"/>
      <c r="H116" s="152"/>
      <c r="I116" s="152"/>
      <c r="J116" s="93"/>
      <c r="K116" s="93"/>
      <c r="L116" s="93"/>
      <c r="M116" s="93"/>
      <c r="N116" s="93"/>
      <c r="O116" s="93"/>
      <c r="P116" s="93"/>
      <c r="Q116" s="93"/>
      <c r="R116" s="93"/>
    </row>
    <row r="117" spans="2:18" s="74" customFormat="1" ht="24.95" customHeight="1">
      <c r="B117" s="155"/>
      <c r="C117" s="92"/>
      <c r="D117" s="92"/>
      <c r="E117" s="152"/>
      <c r="F117" s="158"/>
      <c r="G117" s="157"/>
      <c r="H117" s="152"/>
      <c r="I117" s="152"/>
      <c r="J117" s="93"/>
      <c r="K117" s="93"/>
      <c r="L117" s="93"/>
      <c r="M117" s="93"/>
      <c r="N117" s="93"/>
      <c r="O117" s="93"/>
      <c r="P117" s="93"/>
      <c r="Q117" s="93"/>
      <c r="R117" s="93"/>
    </row>
    <row r="118" spans="2:18" s="74" customFormat="1" ht="24.95" customHeight="1">
      <c r="B118" s="155"/>
      <c r="C118" s="92"/>
      <c r="D118" s="92"/>
      <c r="E118" s="152"/>
      <c r="F118" s="158"/>
      <c r="G118" s="157"/>
      <c r="H118" s="152"/>
      <c r="I118" s="152"/>
      <c r="J118" s="93"/>
      <c r="K118" s="93"/>
      <c r="L118" s="93"/>
      <c r="M118" s="93"/>
      <c r="N118" s="93"/>
      <c r="O118" s="93"/>
      <c r="P118" s="93"/>
      <c r="Q118" s="93"/>
      <c r="R118" s="93"/>
    </row>
    <row r="119" spans="2:18" s="74" customFormat="1" ht="24.95" customHeight="1">
      <c r="B119" s="155"/>
      <c r="C119" s="92"/>
      <c r="D119" s="92"/>
      <c r="E119" s="152"/>
      <c r="F119" s="158"/>
      <c r="G119" s="157"/>
      <c r="H119" s="152"/>
      <c r="I119" s="152"/>
      <c r="J119" s="93"/>
      <c r="K119" s="93"/>
      <c r="L119" s="93"/>
      <c r="M119" s="93"/>
      <c r="N119" s="93"/>
      <c r="O119" s="93"/>
      <c r="P119" s="93"/>
      <c r="Q119" s="93"/>
      <c r="R119" s="93"/>
    </row>
    <row r="120" spans="2:18" s="74" customFormat="1" ht="24.95" customHeight="1">
      <c r="B120" s="155"/>
      <c r="C120" s="92"/>
      <c r="D120" s="92"/>
      <c r="E120" s="152"/>
      <c r="F120" s="158"/>
      <c r="G120" s="157"/>
      <c r="H120" s="152"/>
      <c r="I120" s="152"/>
      <c r="J120" s="93"/>
      <c r="K120" s="93"/>
      <c r="L120" s="93"/>
      <c r="M120" s="93"/>
      <c r="N120" s="93"/>
      <c r="O120" s="93"/>
      <c r="P120" s="93"/>
      <c r="Q120" s="93"/>
      <c r="R120" s="93"/>
    </row>
    <row r="121" spans="2:18" s="74" customFormat="1" ht="24.95" customHeight="1">
      <c r="B121" s="155"/>
      <c r="C121" s="92"/>
      <c r="D121" s="92"/>
      <c r="E121" s="152"/>
      <c r="F121" s="158"/>
      <c r="G121" s="157"/>
      <c r="H121" s="152"/>
      <c r="I121" s="152"/>
      <c r="J121" s="93"/>
      <c r="K121" s="93"/>
      <c r="L121" s="93"/>
      <c r="M121" s="93"/>
      <c r="N121" s="93"/>
      <c r="O121" s="93"/>
      <c r="P121" s="93"/>
      <c r="Q121" s="93"/>
      <c r="R121" s="93"/>
    </row>
    <row r="122" spans="2:18" s="74" customFormat="1" ht="24.95" customHeight="1">
      <c r="B122" s="155"/>
      <c r="C122" s="92"/>
      <c r="D122" s="92"/>
      <c r="E122" s="152"/>
      <c r="F122" s="158"/>
      <c r="G122" s="157"/>
      <c r="H122" s="152"/>
      <c r="I122" s="152"/>
      <c r="J122" s="93"/>
      <c r="K122" s="93"/>
      <c r="L122" s="93"/>
      <c r="M122" s="93"/>
      <c r="N122" s="93"/>
      <c r="O122" s="93"/>
      <c r="P122" s="93"/>
      <c r="Q122" s="93"/>
      <c r="R122" s="93"/>
    </row>
    <row r="123" spans="2:18" s="74" customFormat="1" ht="24.95" customHeight="1">
      <c r="B123" s="155"/>
      <c r="C123" s="92"/>
      <c r="D123" s="92"/>
      <c r="E123" s="152"/>
      <c r="F123" s="158"/>
      <c r="G123" s="157"/>
      <c r="H123" s="152"/>
      <c r="I123" s="152"/>
      <c r="J123" s="93"/>
      <c r="K123" s="93"/>
      <c r="L123" s="93"/>
      <c r="M123" s="93"/>
      <c r="N123" s="93"/>
      <c r="O123" s="93"/>
      <c r="P123" s="93"/>
      <c r="Q123" s="93"/>
      <c r="R123" s="93"/>
    </row>
    <row r="124" spans="2:18" s="74" customFormat="1" ht="24.95" customHeight="1">
      <c r="B124" s="155"/>
      <c r="C124" s="92"/>
      <c r="D124" s="92"/>
      <c r="E124" s="152"/>
      <c r="F124" s="158"/>
      <c r="G124" s="157"/>
      <c r="H124" s="152"/>
      <c r="I124" s="152"/>
      <c r="J124" s="93"/>
      <c r="K124" s="93"/>
      <c r="L124" s="93"/>
      <c r="M124" s="93"/>
      <c r="N124" s="93"/>
      <c r="O124" s="93"/>
      <c r="P124" s="93"/>
      <c r="Q124" s="93"/>
      <c r="R124" s="93"/>
    </row>
    <row r="125" spans="2:18" s="74" customFormat="1" ht="24.95" customHeight="1">
      <c r="B125" s="155"/>
      <c r="C125" s="92"/>
      <c r="D125" s="92"/>
      <c r="E125" s="152"/>
      <c r="F125" s="158"/>
      <c r="G125" s="157"/>
      <c r="H125" s="152"/>
      <c r="I125" s="152"/>
      <c r="J125" s="93"/>
      <c r="K125" s="93"/>
      <c r="L125" s="93"/>
      <c r="M125" s="93"/>
      <c r="N125" s="93"/>
      <c r="O125" s="93"/>
      <c r="P125" s="93"/>
      <c r="Q125" s="93"/>
      <c r="R125" s="93"/>
    </row>
    <row r="126" spans="2:18" s="74" customFormat="1" ht="24.95" customHeight="1">
      <c r="B126" s="155"/>
      <c r="C126" s="92"/>
      <c r="D126" s="92"/>
      <c r="E126" s="152"/>
      <c r="F126" s="158"/>
      <c r="G126" s="157"/>
      <c r="H126" s="152"/>
      <c r="I126" s="152"/>
      <c r="J126" s="93"/>
      <c r="K126" s="93"/>
      <c r="L126" s="93"/>
      <c r="M126" s="93"/>
      <c r="N126" s="93"/>
      <c r="O126" s="93"/>
      <c r="P126" s="93"/>
      <c r="Q126" s="93"/>
      <c r="R126" s="93"/>
    </row>
    <row r="127" spans="2:18" s="74" customFormat="1" ht="24.95" customHeight="1">
      <c r="B127" s="155"/>
      <c r="C127" s="92"/>
      <c r="D127" s="92"/>
      <c r="E127" s="152"/>
      <c r="F127" s="158"/>
      <c r="G127" s="157"/>
      <c r="H127" s="152"/>
      <c r="I127" s="152"/>
      <c r="J127" s="93"/>
      <c r="K127" s="93"/>
      <c r="L127" s="93"/>
      <c r="M127" s="93"/>
      <c r="N127" s="93"/>
      <c r="O127" s="93"/>
      <c r="P127" s="93"/>
      <c r="Q127" s="93"/>
      <c r="R127" s="93"/>
    </row>
    <row r="128" spans="2:18" s="74" customFormat="1" ht="24.95" customHeight="1">
      <c r="B128" s="155"/>
      <c r="C128" s="92"/>
      <c r="D128" s="92"/>
      <c r="E128" s="152"/>
      <c r="F128" s="158"/>
      <c r="G128" s="157"/>
      <c r="H128" s="152"/>
      <c r="I128" s="152"/>
      <c r="J128" s="93"/>
      <c r="K128" s="93"/>
      <c r="L128" s="93"/>
      <c r="M128" s="93"/>
      <c r="N128" s="93"/>
      <c r="O128" s="93"/>
      <c r="P128" s="93"/>
      <c r="Q128" s="93"/>
      <c r="R128" s="93"/>
    </row>
    <row r="129" spans="2:18" s="74" customFormat="1" ht="24.95" customHeight="1">
      <c r="B129" s="155"/>
      <c r="C129" s="92"/>
      <c r="D129" s="92"/>
      <c r="E129" s="152"/>
      <c r="F129" s="158"/>
      <c r="G129" s="157"/>
      <c r="H129" s="152"/>
      <c r="I129" s="152"/>
      <c r="J129" s="93"/>
      <c r="K129" s="93"/>
      <c r="L129" s="93"/>
      <c r="M129" s="93"/>
      <c r="N129" s="93"/>
      <c r="O129" s="93"/>
      <c r="P129" s="93"/>
      <c r="Q129" s="93"/>
      <c r="R129" s="93"/>
    </row>
    <row r="130" spans="2:18" s="74" customFormat="1" ht="24.95" customHeight="1">
      <c r="B130" s="155"/>
      <c r="C130" s="92"/>
      <c r="D130" s="92"/>
      <c r="E130" s="152"/>
      <c r="F130" s="158"/>
      <c r="G130" s="157"/>
      <c r="H130" s="152"/>
      <c r="I130" s="152"/>
      <c r="J130" s="93"/>
      <c r="K130" s="93"/>
      <c r="L130" s="93"/>
      <c r="M130" s="93"/>
      <c r="N130" s="93"/>
      <c r="O130" s="93"/>
      <c r="P130" s="93"/>
      <c r="Q130" s="93"/>
      <c r="R130" s="93"/>
    </row>
    <row r="131" spans="2:18" s="74" customFormat="1" ht="24.95" customHeight="1">
      <c r="B131" s="155"/>
      <c r="C131" s="92"/>
      <c r="D131" s="92"/>
      <c r="E131" s="152"/>
      <c r="F131" s="158"/>
      <c r="G131" s="157"/>
      <c r="H131" s="152"/>
      <c r="I131" s="152"/>
      <c r="J131" s="93"/>
      <c r="K131" s="93"/>
      <c r="L131" s="93"/>
      <c r="M131" s="93"/>
      <c r="N131" s="93"/>
      <c r="O131" s="93"/>
      <c r="P131" s="93"/>
      <c r="Q131" s="93"/>
      <c r="R131" s="93"/>
    </row>
    <row r="132" spans="2:18" s="74" customFormat="1" ht="24.95" customHeight="1">
      <c r="B132" s="155"/>
      <c r="C132" s="92"/>
      <c r="D132" s="92"/>
      <c r="E132" s="152"/>
      <c r="F132" s="158"/>
      <c r="G132" s="157"/>
      <c r="H132" s="152"/>
      <c r="I132" s="152"/>
      <c r="J132" s="93"/>
      <c r="K132" s="93"/>
      <c r="L132" s="93"/>
      <c r="M132" s="93"/>
      <c r="N132" s="93"/>
      <c r="O132" s="93"/>
      <c r="P132" s="93"/>
      <c r="Q132" s="93"/>
      <c r="R132" s="93"/>
    </row>
    <row r="133" spans="2:18" s="74" customFormat="1" ht="24.95" customHeight="1">
      <c r="B133" s="155"/>
      <c r="C133" s="92"/>
      <c r="D133" s="92"/>
      <c r="E133" s="152"/>
      <c r="F133" s="158"/>
      <c r="G133" s="157"/>
      <c r="H133" s="152"/>
      <c r="I133" s="152"/>
      <c r="J133" s="93"/>
      <c r="K133" s="93"/>
      <c r="L133" s="93"/>
      <c r="M133" s="93"/>
      <c r="N133" s="93"/>
      <c r="O133" s="93"/>
      <c r="P133" s="93"/>
      <c r="Q133" s="93"/>
      <c r="R133" s="93"/>
    </row>
    <row r="134" spans="2:18" s="74" customFormat="1" ht="24.95" customHeight="1">
      <c r="B134" s="155"/>
      <c r="C134" s="92"/>
      <c r="D134" s="92"/>
      <c r="E134" s="152"/>
      <c r="F134" s="158"/>
      <c r="G134" s="157"/>
      <c r="H134" s="152"/>
      <c r="I134" s="152"/>
      <c r="J134" s="93"/>
      <c r="K134" s="93"/>
      <c r="L134" s="93"/>
      <c r="M134" s="93"/>
      <c r="N134" s="93"/>
      <c r="O134" s="93"/>
      <c r="P134" s="93"/>
      <c r="Q134" s="93"/>
      <c r="R134" s="93"/>
    </row>
    <row r="135" spans="2:18" s="74" customFormat="1" ht="24.95" customHeight="1">
      <c r="B135" s="159"/>
      <c r="C135" s="92"/>
      <c r="D135" s="92"/>
      <c r="E135" s="92"/>
      <c r="F135" s="158"/>
      <c r="G135" s="157"/>
      <c r="H135" s="152"/>
      <c r="I135" s="152"/>
      <c r="J135" s="93"/>
      <c r="K135" s="93"/>
      <c r="L135" s="93"/>
      <c r="M135" s="93"/>
      <c r="N135" s="93"/>
      <c r="O135" s="93"/>
      <c r="P135" s="93"/>
      <c r="Q135" s="93"/>
      <c r="R135" s="93"/>
    </row>
    <row r="136" spans="2:18" s="74" customFormat="1" ht="24.95" customHeight="1">
      <c r="B136" s="159"/>
      <c r="C136" s="92"/>
      <c r="D136" s="92"/>
      <c r="E136" s="92"/>
      <c r="F136" s="158"/>
      <c r="G136" s="157"/>
      <c r="H136" s="152"/>
      <c r="I136" s="152"/>
      <c r="J136" s="93"/>
      <c r="K136" s="93"/>
      <c r="L136" s="93"/>
      <c r="M136" s="93"/>
      <c r="N136" s="93"/>
      <c r="O136" s="93"/>
      <c r="P136" s="93"/>
      <c r="Q136" s="93"/>
      <c r="R136" s="93"/>
    </row>
    <row r="137" spans="2:18" s="74" customFormat="1" ht="24.95" customHeight="1">
      <c r="B137" s="159"/>
      <c r="C137" s="92"/>
      <c r="D137" s="92"/>
      <c r="E137" s="92"/>
      <c r="F137" s="158"/>
      <c r="G137" s="157"/>
      <c r="H137" s="152"/>
      <c r="I137" s="152"/>
      <c r="J137" s="93"/>
      <c r="K137" s="93"/>
      <c r="L137" s="93"/>
      <c r="M137" s="93"/>
      <c r="N137" s="93"/>
      <c r="O137" s="93"/>
      <c r="P137" s="93"/>
      <c r="Q137" s="93"/>
      <c r="R137" s="93"/>
    </row>
    <row r="138" spans="2:18" s="74" customFormat="1" ht="24.95" customHeight="1">
      <c r="B138" s="159"/>
      <c r="C138" s="92"/>
      <c r="D138" s="92"/>
      <c r="E138" s="92"/>
      <c r="F138" s="158"/>
      <c r="G138" s="157"/>
      <c r="H138" s="152"/>
      <c r="I138" s="152"/>
      <c r="J138" s="93"/>
      <c r="K138" s="93"/>
      <c r="L138" s="93"/>
      <c r="M138" s="93"/>
      <c r="N138" s="93"/>
      <c r="O138" s="93"/>
      <c r="P138" s="93"/>
      <c r="Q138" s="93"/>
      <c r="R138" s="93"/>
    </row>
    <row r="139" spans="2:18" s="74" customFormat="1" ht="24.95" customHeight="1">
      <c r="B139" s="159"/>
      <c r="C139" s="92"/>
      <c r="D139" s="92"/>
      <c r="E139" s="92"/>
      <c r="F139" s="158"/>
      <c r="G139" s="157"/>
      <c r="H139" s="152"/>
      <c r="I139" s="152"/>
      <c r="J139" s="93"/>
      <c r="K139" s="93"/>
      <c r="L139" s="93"/>
      <c r="M139" s="93"/>
      <c r="N139" s="93"/>
      <c r="O139" s="93"/>
      <c r="P139" s="93"/>
      <c r="Q139" s="93"/>
      <c r="R139" s="93"/>
    </row>
    <row r="140" spans="2:18" s="74" customFormat="1" ht="24.95" customHeight="1">
      <c r="B140" s="159"/>
      <c r="C140" s="92"/>
      <c r="D140" s="92"/>
      <c r="E140" s="92"/>
      <c r="F140" s="158"/>
      <c r="G140" s="157"/>
      <c r="H140" s="152"/>
      <c r="I140" s="152"/>
      <c r="J140" s="93"/>
      <c r="K140" s="93"/>
      <c r="L140" s="93"/>
      <c r="M140" s="93"/>
      <c r="N140" s="93"/>
      <c r="O140" s="93"/>
      <c r="P140" s="93"/>
      <c r="Q140" s="93"/>
      <c r="R140" s="93"/>
    </row>
    <row r="141" spans="2:18" s="74" customFormat="1" ht="24.95" customHeight="1">
      <c r="B141" s="159"/>
      <c r="C141" s="92"/>
      <c r="D141" s="92"/>
      <c r="E141" s="92"/>
      <c r="F141" s="158"/>
      <c r="G141" s="157"/>
      <c r="H141" s="152"/>
      <c r="I141" s="152"/>
      <c r="J141" s="93"/>
      <c r="K141" s="93"/>
      <c r="L141" s="93"/>
      <c r="M141" s="93"/>
      <c r="N141" s="93"/>
      <c r="O141" s="93"/>
      <c r="P141" s="93"/>
      <c r="Q141" s="93"/>
      <c r="R141" s="93"/>
    </row>
    <row r="142" spans="2:18" s="74" customFormat="1" ht="24.95" customHeight="1">
      <c r="B142" s="159"/>
      <c r="C142" s="92"/>
      <c r="D142" s="92"/>
      <c r="E142" s="92"/>
      <c r="F142" s="158"/>
      <c r="G142" s="157"/>
      <c r="H142" s="152"/>
      <c r="I142" s="152"/>
      <c r="J142" s="93"/>
      <c r="K142" s="93"/>
      <c r="L142" s="93"/>
      <c r="M142" s="93"/>
      <c r="N142" s="93"/>
      <c r="O142" s="93"/>
      <c r="P142" s="93"/>
      <c r="Q142" s="93"/>
      <c r="R142" s="93"/>
    </row>
    <row r="143" spans="2:18" s="74" customFormat="1" ht="24.95" customHeight="1">
      <c r="B143" s="159"/>
      <c r="C143" s="92"/>
      <c r="D143" s="92"/>
      <c r="E143" s="92"/>
      <c r="F143" s="158"/>
      <c r="G143" s="157"/>
      <c r="H143" s="152"/>
      <c r="I143" s="152"/>
      <c r="J143" s="93"/>
      <c r="K143" s="93"/>
      <c r="L143" s="93"/>
      <c r="M143" s="93"/>
      <c r="N143" s="93"/>
      <c r="O143" s="93"/>
      <c r="P143" s="93"/>
      <c r="Q143" s="93"/>
      <c r="R143" s="93"/>
    </row>
    <row r="144" spans="2:18" s="74" customFormat="1" ht="24.95" customHeight="1">
      <c r="B144" s="159"/>
      <c r="C144" s="92"/>
      <c r="D144" s="92"/>
      <c r="E144" s="92"/>
      <c r="F144" s="158"/>
      <c r="G144" s="157"/>
      <c r="H144" s="152"/>
      <c r="I144" s="152"/>
      <c r="J144" s="93"/>
      <c r="K144" s="93"/>
      <c r="L144" s="93"/>
      <c r="M144" s="93"/>
      <c r="N144" s="93"/>
      <c r="O144" s="93"/>
      <c r="P144" s="93"/>
      <c r="Q144" s="93"/>
      <c r="R144" s="93"/>
    </row>
    <row r="145" spans="2:18" s="74" customFormat="1" ht="24.95" customHeight="1">
      <c r="B145" s="159"/>
      <c r="C145" s="92"/>
      <c r="D145" s="92"/>
      <c r="E145" s="92"/>
      <c r="F145" s="158"/>
      <c r="G145" s="157"/>
      <c r="H145" s="152"/>
      <c r="I145" s="152"/>
      <c r="J145" s="93"/>
      <c r="K145" s="93"/>
      <c r="L145" s="93"/>
      <c r="M145" s="93"/>
      <c r="N145" s="93"/>
      <c r="O145" s="93"/>
      <c r="P145" s="93"/>
      <c r="Q145" s="93"/>
      <c r="R145" s="93"/>
    </row>
    <row r="146" spans="2:18" s="74" customFormat="1" ht="24.95" customHeight="1">
      <c r="B146" s="159"/>
      <c r="C146" s="92"/>
      <c r="D146" s="92"/>
      <c r="E146" s="92"/>
      <c r="F146" s="158"/>
      <c r="G146" s="157"/>
      <c r="H146" s="152"/>
      <c r="I146" s="152"/>
      <c r="J146" s="93"/>
      <c r="K146" s="93"/>
      <c r="L146" s="93"/>
      <c r="M146" s="93"/>
      <c r="N146" s="93"/>
      <c r="O146" s="93"/>
      <c r="P146" s="93"/>
      <c r="Q146" s="93"/>
      <c r="R146" s="93"/>
    </row>
    <row r="147" spans="2:18" s="74" customFormat="1" ht="24.95" customHeight="1">
      <c r="B147" s="159"/>
      <c r="C147" s="92"/>
      <c r="D147" s="92"/>
      <c r="E147" s="92"/>
      <c r="F147" s="158"/>
      <c r="G147" s="157"/>
      <c r="H147" s="152"/>
      <c r="I147" s="152"/>
      <c r="J147" s="93"/>
      <c r="K147" s="93"/>
      <c r="L147" s="93"/>
      <c r="M147" s="93"/>
      <c r="N147" s="93"/>
      <c r="O147" s="93"/>
      <c r="P147" s="93"/>
      <c r="Q147" s="93"/>
      <c r="R147" s="93"/>
    </row>
    <row r="148" spans="2:18" s="74" customFormat="1" ht="24.95" customHeight="1">
      <c r="B148" s="159"/>
      <c r="C148" s="92"/>
      <c r="D148" s="92"/>
      <c r="E148" s="92"/>
      <c r="F148" s="158"/>
      <c r="G148" s="157"/>
      <c r="H148" s="152"/>
      <c r="I148" s="152"/>
      <c r="J148" s="93"/>
      <c r="K148" s="93"/>
      <c r="L148" s="93"/>
      <c r="M148" s="93"/>
      <c r="N148" s="93"/>
      <c r="O148" s="93"/>
      <c r="P148" s="93"/>
      <c r="Q148" s="93"/>
      <c r="R148" s="93"/>
    </row>
    <row r="149" spans="2:18" s="74" customFormat="1" ht="24.95" customHeight="1">
      <c r="B149" s="159"/>
      <c r="C149" s="92"/>
      <c r="D149" s="92"/>
      <c r="E149" s="92"/>
      <c r="F149" s="158"/>
      <c r="G149" s="157"/>
      <c r="H149" s="152"/>
      <c r="I149" s="152"/>
      <c r="J149" s="93"/>
      <c r="K149" s="93"/>
      <c r="L149" s="93"/>
      <c r="M149" s="93"/>
      <c r="N149" s="93"/>
      <c r="O149" s="93"/>
      <c r="P149" s="93"/>
      <c r="Q149" s="93"/>
      <c r="R149" s="93"/>
    </row>
    <row r="150" spans="2:18" s="74" customFormat="1" ht="24.95" customHeight="1">
      <c r="B150" s="159"/>
      <c r="C150" s="92"/>
      <c r="D150" s="92"/>
      <c r="E150" s="92"/>
      <c r="F150" s="158"/>
      <c r="G150" s="157"/>
      <c r="H150" s="152"/>
      <c r="I150" s="152"/>
      <c r="J150" s="93"/>
      <c r="K150" s="93"/>
      <c r="L150" s="93"/>
      <c r="M150" s="93"/>
      <c r="N150" s="93"/>
      <c r="O150" s="93"/>
      <c r="P150" s="93"/>
      <c r="Q150" s="93"/>
      <c r="R150" s="93"/>
    </row>
    <row r="151" spans="2:18" s="74" customFormat="1" ht="24.95" customHeight="1">
      <c r="B151" s="159"/>
      <c r="C151" s="92"/>
      <c r="D151" s="92"/>
      <c r="E151" s="92"/>
      <c r="F151" s="158"/>
      <c r="G151" s="157"/>
      <c r="H151" s="152"/>
      <c r="I151" s="152"/>
      <c r="J151" s="93"/>
      <c r="K151" s="93"/>
      <c r="L151" s="93"/>
      <c r="M151" s="93"/>
      <c r="N151" s="93"/>
      <c r="O151" s="93"/>
      <c r="P151" s="93"/>
      <c r="Q151" s="93"/>
      <c r="R151" s="93"/>
    </row>
    <row r="152" spans="2:18" s="74" customFormat="1" ht="24.95" customHeight="1">
      <c r="B152" s="159"/>
      <c r="C152" s="92"/>
      <c r="D152" s="92"/>
      <c r="E152" s="92"/>
      <c r="F152" s="158"/>
      <c r="G152" s="157"/>
      <c r="H152" s="152"/>
      <c r="I152" s="152"/>
      <c r="J152" s="93"/>
      <c r="K152" s="93"/>
      <c r="L152" s="93"/>
      <c r="M152" s="93"/>
      <c r="N152" s="93"/>
      <c r="O152" s="93"/>
      <c r="P152" s="93"/>
      <c r="Q152" s="93"/>
      <c r="R152" s="93"/>
    </row>
  </sheetData>
  <mergeCells count="12">
    <mergeCell ref="B51:E51"/>
    <mergeCell ref="B52:E52"/>
    <mergeCell ref="B45:E45"/>
    <mergeCell ref="B47:E47"/>
    <mergeCell ref="B48:E48"/>
    <mergeCell ref="B49:E49"/>
    <mergeCell ref="B50:E50"/>
    <mergeCell ref="B36:E36"/>
    <mergeCell ref="B40:E40"/>
    <mergeCell ref="B41:E41"/>
    <mergeCell ref="B43:E43"/>
    <mergeCell ref="B44:E44"/>
  </mergeCells>
  <conditionalFormatting sqref="C3">
    <cfRule type="cellIs" dxfId="46" priority="4" stopIfTrue="1" operator="greaterThanOrEqual">
      <formula>85</formula>
    </cfRule>
    <cfRule type="cellIs" dxfId="45" priority="5" stopIfTrue="1" operator="lessThan">
      <formula>85</formula>
    </cfRule>
  </conditionalFormatting>
  <conditionalFormatting sqref="C37:E39">
    <cfRule type="cellIs" dxfId="44" priority="1" stopIfTrue="1" operator="equal">
      <formula>"לא בוצע"</formula>
    </cfRule>
    <cfRule type="cellIs" dxfId="43" priority="2" stopIfTrue="1" operator="equal">
      <formula>"בוצע"</formula>
    </cfRule>
    <cfRule type="cellIs" dxfId="42" priority="3" stopIfTrue="1" operator="equal">
      <formula>"לא רלוונטי"</formula>
    </cfRule>
  </conditionalFormatting>
  <dataValidations count="2">
    <dataValidation type="list" allowBlank="1" showInputMessage="1" showErrorMessage="1" sqref="C37:E39" xr:uid="{00000000-0002-0000-0000-000000000000}">
      <formula1>$G$4:$G$6</formula1>
    </dataValidation>
    <dataValidation type="list" allowBlank="1" showInputMessage="1" showErrorMessage="1" sqref="C11:E13 C20:E23 C25:E30 C15:E18" xr:uid="{00000000-0002-0000-0000-000001000000}">
      <formula1>$G$3:$G$5</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50"/>
  <sheetViews>
    <sheetView rightToLeft="1" zoomScale="57" zoomScaleNormal="57" workbookViewId="0">
      <selection activeCell="D9" sqref="D9"/>
    </sheetView>
  </sheetViews>
  <sheetFormatPr defaultColWidth="21.375" defaultRowHeight="24.95" customHeight="1"/>
  <cols>
    <col min="1" max="1" width="12.125" customWidth="1"/>
    <col min="2" max="2" width="84.375" style="159" customWidth="1"/>
    <col min="3" max="3" width="24.375" style="92" customWidth="1"/>
    <col min="4" max="4" width="32.375" style="92" bestFit="1" customWidth="1"/>
    <col min="5" max="5" width="26.375" style="92" bestFit="1" customWidth="1"/>
    <col min="6" max="6" width="21.375" style="158" customWidth="1"/>
    <col min="7" max="7" width="21.375" style="157" customWidth="1"/>
    <col min="8" max="9" width="21.375" style="152" customWidth="1"/>
    <col min="10" max="18" width="21.375" style="93" customWidth="1"/>
    <col min="19" max="22" width="21.375" style="74" customWidth="1"/>
  </cols>
  <sheetData>
    <row r="1" spans="2:30" ht="24.95" customHeight="1">
      <c r="B1" s="88" t="s">
        <v>86</v>
      </c>
      <c r="C1" s="89"/>
      <c r="D1" s="89"/>
      <c r="E1" s="89"/>
      <c r="F1" s="90"/>
      <c r="G1" s="91"/>
      <c r="H1" s="92"/>
      <c r="I1" s="92"/>
      <c r="R1" s="94"/>
      <c r="S1" s="95"/>
      <c r="T1"/>
      <c r="U1"/>
      <c r="V1"/>
    </row>
    <row r="2" spans="2:30" ht="24.95" customHeight="1">
      <c r="B2" s="96"/>
      <c r="C2" s="89"/>
      <c r="D2" s="89"/>
      <c r="E2" s="89"/>
      <c r="F2" s="89"/>
      <c r="G2" s="97"/>
      <c r="H2" s="97" t="s">
        <v>87</v>
      </c>
      <c r="I2" s="97"/>
      <c r="J2" s="98"/>
      <c r="R2" s="94"/>
      <c r="S2" s="95"/>
      <c r="T2"/>
      <c r="U2"/>
      <c r="V2"/>
    </row>
    <row r="3" spans="2:30" ht="24.95" customHeight="1">
      <c r="B3" s="99" t="s">
        <v>0</v>
      </c>
      <c r="C3" s="100">
        <f>AVERAGE(C9:E9)</f>
        <v>91.000000000000014</v>
      </c>
      <c r="D3" s="101" t="s">
        <v>1</v>
      </c>
      <c r="E3" s="102" t="s">
        <v>2</v>
      </c>
      <c r="F3" s="102"/>
      <c r="G3" s="97" t="s">
        <v>3</v>
      </c>
      <c r="H3" s="103">
        <f>COUNTIF($C$11:$E$28,"בוצע")+SUM(G10:G17)</f>
        <v>42</v>
      </c>
      <c r="I3" s="97" t="s">
        <v>88</v>
      </c>
      <c r="J3" s="98"/>
      <c r="R3" s="94"/>
      <c r="S3" s="95"/>
      <c r="T3"/>
      <c r="U3"/>
      <c r="V3"/>
    </row>
    <row r="4" spans="2:30" ht="24.95" customHeight="1">
      <c r="B4" s="99"/>
      <c r="C4" s="100"/>
      <c r="D4" s="161" t="s">
        <v>82</v>
      </c>
      <c r="E4" s="161" t="s">
        <v>127</v>
      </c>
      <c r="F4" s="160"/>
      <c r="G4" s="97" t="s">
        <v>4</v>
      </c>
      <c r="H4" s="103">
        <f>COUNTIF($C$11:$E$28,"לא בוצע")+SUM(G10:G17)</f>
        <v>0</v>
      </c>
      <c r="I4" s="97" t="s">
        <v>89</v>
      </c>
      <c r="J4" s="98"/>
      <c r="R4" s="94"/>
      <c r="S4" s="95"/>
      <c r="T4"/>
      <c r="U4"/>
      <c r="V4"/>
    </row>
    <row r="5" spans="2:30" ht="24.95" customHeight="1">
      <c r="B5" s="102" t="s">
        <v>90</v>
      </c>
      <c r="C5" s="102"/>
      <c r="D5" s="102"/>
      <c r="E5" s="102"/>
      <c r="F5" s="104" t="s">
        <v>6</v>
      </c>
      <c r="G5" s="97" t="s">
        <v>7</v>
      </c>
      <c r="H5" s="103">
        <f>COUNTIF($C$11:$E$28,"לא רלוונטי")+SUM(O12:O28)</f>
        <v>3.79</v>
      </c>
      <c r="I5" s="97"/>
      <c r="J5" s="98"/>
      <c r="R5" s="94"/>
      <c r="S5" s="95"/>
      <c r="T5"/>
      <c r="U5"/>
      <c r="V5"/>
    </row>
    <row r="6" spans="2:30" ht="24.95" customHeight="1">
      <c r="B6" s="160" t="s">
        <v>8</v>
      </c>
      <c r="C6" s="160">
        <v>528503078</v>
      </c>
      <c r="D6" s="160">
        <v>506740760</v>
      </c>
      <c r="E6" s="160"/>
      <c r="F6" s="105"/>
      <c r="G6" s="91"/>
      <c r="H6" s="92"/>
      <c r="I6" s="106"/>
      <c r="J6" s="98"/>
      <c r="R6" s="94"/>
      <c r="S6" s="95"/>
      <c r="T6"/>
      <c r="U6"/>
      <c r="V6"/>
    </row>
    <row r="7" spans="2:30" ht="24.95" customHeight="1">
      <c r="B7" s="160" t="s">
        <v>9</v>
      </c>
      <c r="C7" s="160"/>
      <c r="D7" s="160"/>
      <c r="E7" s="160"/>
      <c r="F7" s="105"/>
      <c r="G7" s="91"/>
      <c r="H7" s="92"/>
      <c r="I7" s="106"/>
      <c r="J7" s="98"/>
      <c r="R7" s="94"/>
      <c r="S7" s="95"/>
      <c r="T7"/>
      <c r="U7"/>
      <c r="V7"/>
    </row>
    <row r="8" spans="2:30" ht="24.95" customHeight="1">
      <c r="B8" s="160" t="s">
        <v>10</v>
      </c>
      <c r="C8" s="160"/>
      <c r="D8" s="160"/>
      <c r="E8" s="160"/>
      <c r="F8" s="108">
        <f>SUM(F11:F28)</f>
        <v>0.90000000000000036</v>
      </c>
      <c r="G8" s="109"/>
      <c r="H8" s="110"/>
      <c r="I8" s="110"/>
      <c r="J8" s="111"/>
      <c r="L8" s="112" t="s">
        <v>7</v>
      </c>
      <c r="M8" s="112" t="s">
        <v>3</v>
      </c>
      <c r="N8" s="112" t="s">
        <v>7</v>
      </c>
      <c r="O8" s="112" t="s">
        <v>3</v>
      </c>
      <c r="P8" s="112" t="s">
        <v>7</v>
      </c>
      <c r="Q8" s="112" t="s">
        <v>3</v>
      </c>
      <c r="R8" s="94"/>
      <c r="S8" s="95"/>
      <c r="T8"/>
      <c r="U8"/>
      <c r="V8"/>
    </row>
    <row r="9" spans="2:30" s="113" customFormat="1" ht="24.95" customHeight="1">
      <c r="B9" s="160" t="s">
        <v>11</v>
      </c>
      <c r="C9" s="160">
        <f>M31</f>
        <v>89.000000000000028</v>
      </c>
      <c r="D9" s="160">
        <f>O31</f>
        <v>84.000000000000028</v>
      </c>
      <c r="E9" s="160">
        <f>Q31</f>
        <v>100</v>
      </c>
      <c r="F9" s="114"/>
      <c r="G9" s="115"/>
      <c r="H9" s="115"/>
      <c r="I9" s="116"/>
      <c r="J9" s="117"/>
      <c r="K9" s="118"/>
      <c r="L9" s="119"/>
      <c r="M9" s="119"/>
      <c r="N9" s="119"/>
      <c r="O9" s="119"/>
      <c r="P9" s="119"/>
      <c r="Q9" s="120"/>
      <c r="R9" s="94"/>
      <c r="S9" s="95"/>
      <c r="T9"/>
      <c r="U9"/>
      <c r="V9"/>
      <c r="W9"/>
      <c r="X9"/>
      <c r="Y9"/>
      <c r="Z9"/>
      <c r="AA9"/>
      <c r="AB9"/>
      <c r="AC9"/>
      <c r="AD9"/>
    </row>
    <row r="10" spans="2:30" ht="24.95" customHeight="1">
      <c r="B10" s="121" t="s">
        <v>91</v>
      </c>
      <c r="C10" s="121"/>
      <c r="D10" s="121"/>
      <c r="E10" s="121"/>
      <c r="F10" s="122"/>
      <c r="G10" s="123"/>
      <c r="H10" s="123"/>
      <c r="I10" s="123"/>
      <c r="L10" s="124">
        <f>SUM(L11:L30)</f>
        <v>0.11</v>
      </c>
      <c r="M10" s="124">
        <f>SUM(M11:M30)</f>
        <v>0.89000000000000035</v>
      </c>
      <c r="N10" s="124">
        <f>SUM(N11:N30)</f>
        <v>0.06</v>
      </c>
      <c r="O10" s="124">
        <f>SUM(O11:O30)</f>
        <v>0.8400000000000003</v>
      </c>
      <c r="P10" s="124">
        <f>SUM(P11:P30)</f>
        <v>0.06</v>
      </c>
      <c r="Q10" s="124">
        <v>1</v>
      </c>
      <c r="R10" s="125"/>
      <c r="S10" s="126"/>
      <c r="T10"/>
      <c r="U10"/>
      <c r="V10"/>
    </row>
    <row r="11" spans="2:30" ht="24.95" customHeight="1">
      <c r="B11" s="160" t="s">
        <v>92</v>
      </c>
      <c r="C11" s="160" t="s">
        <v>3</v>
      </c>
      <c r="D11" s="160" t="s">
        <v>3</v>
      </c>
      <c r="E11" s="160" t="s">
        <v>3</v>
      </c>
      <c r="F11" s="127">
        <v>0.05</v>
      </c>
      <c r="G11" s="123"/>
      <c r="H11" s="123"/>
      <c r="I11" s="128">
        <f>F11</f>
        <v>0.05</v>
      </c>
      <c r="L11" s="129">
        <f>IF((C11=$G$5)+OR(C11=""),$I11,0)</f>
        <v>0</v>
      </c>
      <c r="M11" s="124">
        <f>IF(C11=$G$3,$I11,0)</f>
        <v>0.05</v>
      </c>
      <c r="N11" s="129">
        <f t="shared" ref="N11:N18" si="0">IF((D11=$G$5)+OR(D11=""),$I11,0)</f>
        <v>0</v>
      </c>
      <c r="O11" s="124">
        <f t="shared" ref="O11:O18" si="1">IF(D11=$G$3,$I11,0)</f>
        <v>0.05</v>
      </c>
      <c r="P11" s="129">
        <f>IF((E11=$G$5)+OR(E11=""),$I11,0)</f>
        <v>0</v>
      </c>
      <c r="Q11" s="124">
        <f>IF(E11=$G$3,$I11,0)</f>
        <v>0.05</v>
      </c>
      <c r="R11" s="125"/>
      <c r="S11" s="126"/>
      <c r="T11"/>
      <c r="U11"/>
      <c r="V11"/>
    </row>
    <row r="12" spans="2:30" ht="24.95" customHeight="1">
      <c r="B12" s="160" t="s">
        <v>93</v>
      </c>
      <c r="C12" s="160" t="s">
        <v>3</v>
      </c>
      <c r="D12" s="160" t="s">
        <v>3</v>
      </c>
      <c r="E12" s="160" t="s">
        <v>3</v>
      </c>
      <c r="F12" s="127">
        <v>0.05</v>
      </c>
      <c r="G12" s="123"/>
      <c r="H12" s="123"/>
      <c r="I12" s="128">
        <f>F12</f>
        <v>0.05</v>
      </c>
      <c r="L12" s="129">
        <f t="shared" ref="L12:L30" si="2">IF((C12=$G$5)+OR(C12=""),$I12,0)</f>
        <v>0</v>
      </c>
      <c r="M12" s="124">
        <f t="shared" ref="M12:M18" si="3">IF(C12=$G$3,$I12,0)</f>
        <v>0.05</v>
      </c>
      <c r="N12" s="129">
        <f t="shared" si="0"/>
        <v>0</v>
      </c>
      <c r="O12" s="124">
        <f t="shared" si="1"/>
        <v>0.05</v>
      </c>
      <c r="P12" s="129">
        <f t="shared" ref="P12:P23" si="4">IF((E12=$G$5)+OR(E12=""),$I12,0)</f>
        <v>0</v>
      </c>
      <c r="Q12" s="124">
        <f t="shared" ref="Q12:Q23" si="5">IF(E12=$G$3,$I12,0)</f>
        <v>0.05</v>
      </c>
      <c r="R12" s="125"/>
      <c r="S12" s="126"/>
      <c r="T12"/>
      <c r="U12"/>
      <c r="V12"/>
    </row>
    <row r="13" spans="2:30" ht="24.95" customHeight="1">
      <c r="B13" s="160" t="s">
        <v>94</v>
      </c>
      <c r="C13" s="160" t="s">
        <v>3</v>
      </c>
      <c r="D13" s="160" t="s">
        <v>3</v>
      </c>
      <c r="E13" s="160" t="s">
        <v>3</v>
      </c>
      <c r="F13" s="107">
        <v>0.06</v>
      </c>
      <c r="G13" s="123"/>
      <c r="H13" s="123"/>
      <c r="I13" s="128">
        <f>F13</f>
        <v>0.06</v>
      </c>
      <c r="L13" s="129">
        <f t="shared" si="2"/>
        <v>0</v>
      </c>
      <c r="M13" s="124">
        <f>IF(C13=$G$3,$I13,0)</f>
        <v>0.06</v>
      </c>
      <c r="N13" s="129">
        <f>IF((D13=$G$5)+OR(D13=""),$I13,0)</f>
        <v>0</v>
      </c>
      <c r="O13" s="124">
        <f>IF(D13=$G$3,$I13,0)</f>
        <v>0.06</v>
      </c>
      <c r="P13" s="129">
        <f>IF((E13=$G$5)+OR(E13=""),$I13,0)</f>
        <v>0</v>
      </c>
      <c r="Q13" s="124">
        <f>IF(E13=$G$3,$I13,0)</f>
        <v>0.06</v>
      </c>
      <c r="R13" s="125"/>
      <c r="S13" s="126"/>
      <c r="T13"/>
      <c r="U13"/>
      <c r="V13"/>
    </row>
    <row r="14" spans="2:30" ht="24.95" customHeight="1">
      <c r="B14" s="130" t="s">
        <v>95</v>
      </c>
      <c r="C14" s="121"/>
      <c r="D14" s="121"/>
      <c r="E14" s="121"/>
      <c r="F14" s="101"/>
      <c r="G14" s="123"/>
      <c r="H14" s="123"/>
      <c r="I14" s="128">
        <f t="shared" ref="I14:I30" si="6">F14</f>
        <v>0</v>
      </c>
      <c r="L14" s="129">
        <f>IF((C14=$G$5)+OR(C14=""),$I14,0)</f>
        <v>0</v>
      </c>
      <c r="M14" s="124">
        <f t="shared" si="3"/>
        <v>0</v>
      </c>
      <c r="N14" s="129">
        <f t="shared" si="0"/>
        <v>0</v>
      </c>
      <c r="O14" s="124">
        <f t="shared" si="1"/>
        <v>0</v>
      </c>
      <c r="P14" s="129">
        <f t="shared" si="4"/>
        <v>0</v>
      </c>
      <c r="Q14" s="124">
        <f t="shared" si="5"/>
        <v>0</v>
      </c>
      <c r="R14" s="125"/>
      <c r="S14" s="126"/>
      <c r="T14"/>
      <c r="U14"/>
      <c r="V14"/>
    </row>
    <row r="15" spans="2:30" ht="24.95" customHeight="1">
      <c r="B15" s="160" t="s">
        <v>96</v>
      </c>
      <c r="C15" s="160" t="s">
        <v>3</v>
      </c>
      <c r="D15" s="160" t="s">
        <v>3</v>
      </c>
      <c r="E15" s="160" t="s">
        <v>3</v>
      </c>
      <c r="F15" s="103">
        <v>0.05</v>
      </c>
      <c r="G15" s="123"/>
      <c r="H15" s="131"/>
      <c r="I15" s="128">
        <f>F15</f>
        <v>0.05</v>
      </c>
      <c r="L15" s="129">
        <f t="shared" si="2"/>
        <v>0</v>
      </c>
      <c r="M15" s="124">
        <f t="shared" si="3"/>
        <v>0.05</v>
      </c>
      <c r="N15" s="129">
        <f t="shared" si="0"/>
        <v>0</v>
      </c>
      <c r="O15" s="124">
        <f t="shared" si="1"/>
        <v>0.05</v>
      </c>
      <c r="P15" s="129">
        <f t="shared" si="4"/>
        <v>0</v>
      </c>
      <c r="Q15" s="124">
        <f t="shared" si="5"/>
        <v>0.05</v>
      </c>
      <c r="R15" s="125"/>
      <c r="S15" s="126"/>
      <c r="T15"/>
      <c r="U15"/>
      <c r="V15"/>
    </row>
    <row r="16" spans="2:30" ht="24.95" customHeight="1">
      <c r="B16" s="160" t="s">
        <v>97</v>
      </c>
      <c r="C16" s="160" t="s">
        <v>3</v>
      </c>
      <c r="D16" s="160" t="s">
        <v>3</v>
      </c>
      <c r="E16" s="160" t="s">
        <v>3</v>
      </c>
      <c r="F16" s="127">
        <v>0.05</v>
      </c>
      <c r="G16" s="123"/>
      <c r="H16" s="131"/>
      <c r="I16" s="128">
        <f t="shared" si="6"/>
        <v>0.05</v>
      </c>
      <c r="L16" s="129">
        <f t="shared" si="2"/>
        <v>0</v>
      </c>
      <c r="M16" s="124">
        <f t="shared" si="3"/>
        <v>0.05</v>
      </c>
      <c r="N16" s="129">
        <f t="shared" si="0"/>
        <v>0</v>
      </c>
      <c r="O16" s="124">
        <f t="shared" si="1"/>
        <v>0.05</v>
      </c>
      <c r="P16" s="129">
        <f t="shared" si="4"/>
        <v>0</v>
      </c>
      <c r="Q16" s="124">
        <f t="shared" si="5"/>
        <v>0.05</v>
      </c>
      <c r="R16" s="125"/>
      <c r="S16" s="126"/>
      <c r="T16"/>
      <c r="U16"/>
      <c r="V16"/>
    </row>
    <row r="17" spans="1:22" s="74" customFormat="1" ht="24.95" customHeight="1">
      <c r="B17" s="160" t="s">
        <v>98</v>
      </c>
      <c r="C17" s="160" t="s">
        <v>3</v>
      </c>
      <c r="D17" s="160" t="s">
        <v>3</v>
      </c>
      <c r="E17" s="160" t="s">
        <v>3</v>
      </c>
      <c r="F17" s="132">
        <v>7.0000000000000007E-2</v>
      </c>
      <c r="G17" s="123"/>
      <c r="H17" s="123"/>
      <c r="I17" s="128">
        <f t="shared" si="6"/>
        <v>7.0000000000000007E-2</v>
      </c>
      <c r="J17" s="93"/>
      <c r="K17" s="93"/>
      <c r="L17" s="129">
        <f t="shared" si="2"/>
        <v>0</v>
      </c>
      <c r="M17" s="124">
        <f t="shared" si="3"/>
        <v>7.0000000000000007E-2</v>
      </c>
      <c r="N17" s="129">
        <f t="shared" si="0"/>
        <v>0</v>
      </c>
      <c r="O17" s="124">
        <f t="shared" si="1"/>
        <v>7.0000000000000007E-2</v>
      </c>
      <c r="P17" s="129">
        <f t="shared" si="4"/>
        <v>0</v>
      </c>
      <c r="Q17" s="124">
        <f t="shared" si="5"/>
        <v>7.0000000000000007E-2</v>
      </c>
      <c r="R17" s="125"/>
      <c r="S17" s="126"/>
    </row>
    <row r="18" spans="1:22" ht="36.6" customHeight="1">
      <c r="B18" s="160" t="s">
        <v>99</v>
      </c>
      <c r="C18" s="160" t="s">
        <v>3</v>
      </c>
      <c r="D18" s="160" t="s">
        <v>3</v>
      </c>
      <c r="E18" s="160" t="s">
        <v>3</v>
      </c>
      <c r="F18" s="103">
        <v>7.0000000000000007E-2</v>
      </c>
      <c r="G18" s="123"/>
      <c r="H18" s="123"/>
      <c r="I18" s="128">
        <f t="shared" si="6"/>
        <v>7.0000000000000007E-2</v>
      </c>
      <c r="L18" s="129">
        <f t="shared" si="2"/>
        <v>0</v>
      </c>
      <c r="M18" s="124">
        <f t="shared" si="3"/>
        <v>7.0000000000000007E-2</v>
      </c>
      <c r="N18" s="129">
        <f t="shared" si="0"/>
        <v>0</v>
      </c>
      <c r="O18" s="124">
        <f t="shared" si="1"/>
        <v>7.0000000000000007E-2</v>
      </c>
      <c r="P18" s="129">
        <f t="shared" si="4"/>
        <v>0</v>
      </c>
      <c r="Q18" s="124">
        <f t="shared" si="5"/>
        <v>7.0000000000000007E-2</v>
      </c>
      <c r="R18" s="125"/>
      <c r="S18" s="126"/>
      <c r="T18"/>
      <c r="U18"/>
      <c r="V18"/>
    </row>
    <row r="19" spans="1:22" ht="24.95" customHeight="1">
      <c r="A19" t="s">
        <v>100</v>
      </c>
      <c r="B19" s="133" t="s">
        <v>101</v>
      </c>
      <c r="C19" s="102"/>
      <c r="D19" s="102"/>
      <c r="E19" s="102"/>
      <c r="F19" s="134"/>
      <c r="G19" s="135"/>
      <c r="H19" s="136"/>
      <c r="I19" s="128">
        <f t="shared" si="6"/>
        <v>0</v>
      </c>
      <c r="L19" s="129">
        <f t="shared" si="2"/>
        <v>0</v>
      </c>
      <c r="M19" s="98"/>
      <c r="O19" s="98"/>
      <c r="Q19" s="98"/>
      <c r="R19" s="125"/>
      <c r="S19" s="126"/>
      <c r="T19"/>
      <c r="U19"/>
      <c r="V19"/>
    </row>
    <row r="20" spans="1:22" ht="24.95" customHeight="1">
      <c r="B20" s="160" t="s">
        <v>102</v>
      </c>
      <c r="C20" s="160" t="s">
        <v>3</v>
      </c>
      <c r="D20" s="160" t="s">
        <v>3</v>
      </c>
      <c r="E20" s="160" t="s">
        <v>3</v>
      </c>
      <c r="F20" s="127">
        <v>0.06</v>
      </c>
      <c r="G20" s="135"/>
      <c r="H20" s="136"/>
      <c r="I20" s="128">
        <f t="shared" si="6"/>
        <v>0.06</v>
      </c>
      <c r="L20" s="129">
        <f t="shared" si="2"/>
        <v>0</v>
      </c>
      <c r="M20" s="124">
        <f>IF(C20=$G$3,$I20,0)</f>
        <v>0.06</v>
      </c>
      <c r="N20" s="129">
        <f>IF((D20=$G$5)+OR(D20=""),$I20,0)</f>
        <v>0</v>
      </c>
      <c r="O20" s="124">
        <f>IF(D20=$G$3,$I20,0)</f>
        <v>0.06</v>
      </c>
      <c r="P20" s="129">
        <f t="shared" si="4"/>
        <v>0</v>
      </c>
      <c r="Q20" s="124">
        <f t="shared" si="5"/>
        <v>0.06</v>
      </c>
      <c r="R20" s="125"/>
      <c r="S20" s="126"/>
      <c r="T20"/>
      <c r="U20"/>
      <c r="V20"/>
    </row>
    <row r="21" spans="1:22" ht="30.6" customHeight="1">
      <c r="B21" s="160" t="s">
        <v>37</v>
      </c>
      <c r="C21" s="160" t="s">
        <v>3</v>
      </c>
      <c r="D21" s="160" t="s">
        <v>3</v>
      </c>
      <c r="E21" s="160" t="s">
        <v>3</v>
      </c>
      <c r="F21" s="127">
        <v>7.0000000000000007E-2</v>
      </c>
      <c r="G21" s="135"/>
      <c r="H21" s="136"/>
      <c r="I21" s="128">
        <f t="shared" si="6"/>
        <v>7.0000000000000007E-2</v>
      </c>
      <c r="L21" s="129">
        <f t="shared" si="2"/>
        <v>0</v>
      </c>
      <c r="M21" s="124">
        <f>IF(C21=$G$3,$I21,0)</f>
        <v>7.0000000000000007E-2</v>
      </c>
      <c r="N21" s="129">
        <f>IF((D21=$G$5)+OR(D21=""),$I21,0)</f>
        <v>0</v>
      </c>
      <c r="O21" s="124">
        <f>IF(D21=$G$3,$I21,0)</f>
        <v>7.0000000000000007E-2</v>
      </c>
      <c r="P21" s="129">
        <f t="shared" si="4"/>
        <v>0</v>
      </c>
      <c r="Q21" s="124">
        <f t="shared" si="5"/>
        <v>7.0000000000000007E-2</v>
      </c>
      <c r="R21" s="125"/>
      <c r="S21" s="126"/>
      <c r="T21"/>
      <c r="U21"/>
      <c r="V21"/>
    </row>
    <row r="22" spans="1:22" ht="33" customHeight="1">
      <c r="B22" s="160" t="s">
        <v>103</v>
      </c>
      <c r="C22" s="160" t="s">
        <v>3</v>
      </c>
      <c r="D22" s="160" t="s">
        <v>3</v>
      </c>
      <c r="E22" s="160" t="s">
        <v>3</v>
      </c>
      <c r="F22" s="107">
        <v>7.0000000000000007E-2</v>
      </c>
      <c r="G22" s="135"/>
      <c r="H22" s="136"/>
      <c r="I22" s="128">
        <f t="shared" si="6"/>
        <v>7.0000000000000007E-2</v>
      </c>
      <c r="L22" s="129">
        <f t="shared" si="2"/>
        <v>0</v>
      </c>
      <c r="M22" s="124">
        <f>IF(C22=$G$3,$I22,0)</f>
        <v>7.0000000000000007E-2</v>
      </c>
      <c r="N22" s="129">
        <f>IF((D22=$G$5)+OR(D22=""),$I22,0)</f>
        <v>0</v>
      </c>
      <c r="O22" s="124">
        <f>IF(D22=$G$3,$I22,0)</f>
        <v>7.0000000000000007E-2</v>
      </c>
      <c r="P22" s="129">
        <f t="shared" si="4"/>
        <v>0</v>
      </c>
      <c r="Q22" s="124">
        <f t="shared" si="5"/>
        <v>7.0000000000000007E-2</v>
      </c>
      <c r="R22" s="125"/>
      <c r="S22" s="126"/>
      <c r="T22"/>
      <c r="U22"/>
      <c r="V22"/>
    </row>
    <row r="23" spans="1:22" ht="24.95" customHeight="1">
      <c r="B23" s="160"/>
      <c r="C23" s="160" t="s">
        <v>3</v>
      </c>
      <c r="D23" s="160" t="s">
        <v>3</v>
      </c>
      <c r="E23" s="160" t="s">
        <v>3</v>
      </c>
      <c r="F23" s="127">
        <v>7.0000000000000007E-2</v>
      </c>
      <c r="G23" s="135"/>
      <c r="H23" s="136"/>
      <c r="I23" s="128">
        <f t="shared" si="6"/>
        <v>7.0000000000000007E-2</v>
      </c>
      <c r="L23" s="129">
        <f t="shared" si="2"/>
        <v>0</v>
      </c>
      <c r="M23" s="124">
        <f>IF(C23=$G$3,$I23,0)</f>
        <v>7.0000000000000007E-2</v>
      </c>
      <c r="N23" s="129">
        <f>IF((D23=$G$5)+OR(D23=""),$I23,0)</f>
        <v>0</v>
      </c>
      <c r="O23" s="124">
        <f>IF(D23=$G$3,$I23,0)</f>
        <v>7.0000000000000007E-2</v>
      </c>
      <c r="P23" s="129">
        <f t="shared" si="4"/>
        <v>0</v>
      </c>
      <c r="Q23" s="124">
        <f t="shared" si="5"/>
        <v>7.0000000000000007E-2</v>
      </c>
      <c r="R23" s="125"/>
      <c r="S23" s="126"/>
      <c r="T23"/>
      <c r="U23"/>
      <c r="V23"/>
    </row>
    <row r="24" spans="1:22" ht="24.95" customHeight="1">
      <c r="A24" t="s">
        <v>104</v>
      </c>
      <c r="B24" s="133" t="s">
        <v>13</v>
      </c>
      <c r="C24" s="102"/>
      <c r="D24" s="102"/>
      <c r="E24" s="102"/>
      <c r="F24" s="101"/>
      <c r="G24" s="137"/>
      <c r="H24" s="123"/>
      <c r="I24" s="128">
        <f t="shared" si="6"/>
        <v>0</v>
      </c>
      <c r="L24" s="129">
        <f t="shared" si="2"/>
        <v>0</v>
      </c>
      <c r="M24" s="98"/>
      <c r="O24" s="98"/>
      <c r="Q24" s="98"/>
      <c r="R24" s="125"/>
      <c r="S24" s="126"/>
      <c r="T24"/>
      <c r="U24"/>
      <c r="V24"/>
    </row>
    <row r="25" spans="1:22" ht="24.95" customHeight="1">
      <c r="B25" s="160" t="s">
        <v>105</v>
      </c>
      <c r="C25" s="160" t="s">
        <v>7</v>
      </c>
      <c r="D25" s="160" t="s">
        <v>7</v>
      </c>
      <c r="E25" s="160" t="s">
        <v>7</v>
      </c>
      <c r="F25" s="103">
        <v>0.06</v>
      </c>
      <c r="G25" s="106"/>
      <c r="H25" s="106"/>
      <c r="I25" s="138">
        <f t="shared" si="6"/>
        <v>0.06</v>
      </c>
      <c r="J25" s="139"/>
      <c r="K25" s="139"/>
      <c r="L25" s="140">
        <f t="shared" si="2"/>
        <v>0.06</v>
      </c>
      <c r="M25" s="141">
        <f>IF(C25=$G$3,$I25,0)</f>
        <v>0</v>
      </c>
      <c r="N25" s="140">
        <f>IF((D25=$G$5)+OR(D25=""),$I25,0)</f>
        <v>0.06</v>
      </c>
      <c r="O25" s="141">
        <f>IF(D25=$G$3,$I25,0)</f>
        <v>0</v>
      </c>
      <c r="P25" s="140">
        <f>IF((E25=$G$5)+OR(E25=""),$I25,0)</f>
        <v>0.06</v>
      </c>
      <c r="Q25" s="141">
        <f>IF(E25=$G$3,$I25,0)</f>
        <v>0</v>
      </c>
      <c r="R25" s="94"/>
      <c r="S25" s="95"/>
      <c r="T25"/>
      <c r="U25"/>
      <c r="V25"/>
    </row>
    <row r="26" spans="1:22" ht="24.95" customHeight="1">
      <c r="B26" s="160" t="s">
        <v>106</v>
      </c>
      <c r="C26" s="160" t="s">
        <v>3</v>
      </c>
      <c r="D26" s="160" t="s">
        <v>3</v>
      </c>
      <c r="E26" s="160" t="s">
        <v>3</v>
      </c>
      <c r="F26" s="107">
        <v>0.06</v>
      </c>
      <c r="G26" s="106"/>
      <c r="H26" s="106"/>
      <c r="I26" s="138">
        <f t="shared" si="6"/>
        <v>0.06</v>
      </c>
      <c r="J26" s="139"/>
      <c r="K26" s="139"/>
      <c r="L26" s="140">
        <f t="shared" si="2"/>
        <v>0</v>
      </c>
      <c r="M26" s="141">
        <f>IF(C26=$G$3,$I26,0)</f>
        <v>0.06</v>
      </c>
      <c r="N26" s="140">
        <f>IF((D26=$G$5)+OR(D26=""),$I26,0)</f>
        <v>0</v>
      </c>
      <c r="O26" s="141">
        <f>IF(D26=$G$3,$I26,0)</f>
        <v>0.06</v>
      </c>
      <c r="P26" s="140">
        <f>IF((E26=$G$5)+OR(E26=""),$I26,0)</f>
        <v>0</v>
      </c>
      <c r="Q26" s="141">
        <f>IF(E26=$G$3,$I26,0)</f>
        <v>0.06</v>
      </c>
      <c r="R26" s="94"/>
      <c r="S26" s="95"/>
      <c r="T26"/>
      <c r="U26"/>
      <c r="V26"/>
    </row>
    <row r="27" spans="1:22" ht="24.95" customHeight="1">
      <c r="B27" s="160" t="s">
        <v>107</v>
      </c>
      <c r="C27" s="160" t="s">
        <v>3</v>
      </c>
      <c r="D27" s="160" t="s">
        <v>3</v>
      </c>
      <c r="E27" s="160" t="s">
        <v>3</v>
      </c>
      <c r="F27" s="107">
        <v>0.06</v>
      </c>
      <c r="G27" s="106"/>
      <c r="H27" s="106"/>
      <c r="I27" s="138">
        <f t="shared" si="6"/>
        <v>0.06</v>
      </c>
      <c r="J27" s="139"/>
      <c r="K27" s="139"/>
      <c r="L27" s="140">
        <f t="shared" si="2"/>
        <v>0</v>
      </c>
      <c r="M27" s="141">
        <f>IF(C27=$G$3,$I27,0)</f>
        <v>0.06</v>
      </c>
      <c r="N27" s="140">
        <f>IF((D27=$G$5)+OR(D27=""),$I27,0)</f>
        <v>0</v>
      </c>
      <c r="O27" s="141">
        <f>IF(D27=$G$3,$I27,0)</f>
        <v>0.06</v>
      </c>
      <c r="P27" s="140">
        <f>IF((E27=$G$5)+OR(E27=""),$I27,0)</f>
        <v>0</v>
      </c>
      <c r="Q27" s="141">
        <f>IF(E27=$G$3,$I27,0)</f>
        <v>0.06</v>
      </c>
      <c r="R27" s="139"/>
      <c r="S27" s="95"/>
      <c r="T27"/>
      <c r="U27"/>
      <c r="V27"/>
    </row>
    <row r="28" spans="1:22" ht="24.95" customHeight="1">
      <c r="B28" s="160" t="s">
        <v>108</v>
      </c>
      <c r="C28" s="160" t="s">
        <v>3</v>
      </c>
      <c r="D28" s="160" t="s">
        <v>3</v>
      </c>
      <c r="E28" s="160" t="s">
        <v>3</v>
      </c>
      <c r="F28" s="107">
        <v>0.05</v>
      </c>
      <c r="G28" s="106"/>
      <c r="H28" s="106"/>
      <c r="I28" s="138">
        <f t="shared" si="6"/>
        <v>0.05</v>
      </c>
      <c r="J28" s="139"/>
      <c r="K28" s="139"/>
      <c r="L28" s="140">
        <f t="shared" si="2"/>
        <v>0</v>
      </c>
      <c r="M28" s="141">
        <f>IF(C28=$G$3,$I28,0)</f>
        <v>0.05</v>
      </c>
      <c r="N28" s="140">
        <f>IF((D28=$G$5)+OR(D28=""),$I28,0)</f>
        <v>0</v>
      </c>
      <c r="O28" s="141">
        <f>IF(D28=$G$3,$I28,0)</f>
        <v>0.05</v>
      </c>
      <c r="P28" s="140">
        <f>IF((E28=$G$5)+OR(E28=""),$I28,0)</f>
        <v>0</v>
      </c>
      <c r="Q28" s="141">
        <f>IF(E28=$G$3,$I28,0)</f>
        <v>0.05</v>
      </c>
      <c r="R28" s="139"/>
      <c r="S28" s="95"/>
      <c r="T28"/>
      <c r="U28"/>
      <c r="V28"/>
    </row>
    <row r="29" spans="1:22" ht="24.95" customHeight="1">
      <c r="B29" s="160" t="s">
        <v>110</v>
      </c>
      <c r="C29" s="160" t="s">
        <v>3</v>
      </c>
      <c r="D29" s="160" t="s">
        <v>3</v>
      </c>
      <c r="E29" s="160" t="s">
        <v>3</v>
      </c>
      <c r="F29" s="107">
        <v>0.05</v>
      </c>
      <c r="G29" s="106"/>
      <c r="H29" s="106"/>
      <c r="I29" s="138">
        <f t="shared" si="6"/>
        <v>0.05</v>
      </c>
      <c r="J29" s="139"/>
      <c r="K29" s="139"/>
      <c r="L29" s="140"/>
      <c r="M29" s="141"/>
      <c r="N29" s="140"/>
      <c r="O29" s="141"/>
      <c r="P29" s="140"/>
      <c r="Q29" s="141"/>
      <c r="R29" s="139"/>
      <c r="S29" s="95"/>
      <c r="T29"/>
      <c r="U29"/>
      <c r="V29"/>
    </row>
    <row r="30" spans="1:22" s="74" customFormat="1" ht="24.95" customHeight="1">
      <c r="B30" s="160" t="s">
        <v>109</v>
      </c>
      <c r="C30" s="160" t="s">
        <v>7</v>
      </c>
      <c r="D30" s="160" t="s">
        <v>7</v>
      </c>
      <c r="E30" s="160" t="s">
        <v>7</v>
      </c>
      <c r="F30" s="142">
        <v>0.05</v>
      </c>
      <c r="G30" s="123"/>
      <c r="H30" s="123"/>
      <c r="I30" s="128">
        <f t="shared" si="6"/>
        <v>0.05</v>
      </c>
      <c r="J30" s="93"/>
      <c r="K30" s="93"/>
      <c r="L30" s="129">
        <f t="shared" si="2"/>
        <v>0.05</v>
      </c>
      <c r="M30" s="124">
        <v>0.05</v>
      </c>
      <c r="N30" s="129">
        <v>0</v>
      </c>
      <c r="O30" s="124">
        <f>IF(D30=$G$3,$I30,0)</f>
        <v>0</v>
      </c>
      <c r="P30" s="124">
        <f>IF(E30=$G$3,$I30,0)</f>
        <v>0</v>
      </c>
      <c r="Q30" s="124">
        <f>IF(E30=$G$3,$I30,0)</f>
        <v>0</v>
      </c>
      <c r="R30" s="93"/>
      <c r="S30" s="126"/>
    </row>
    <row r="31" spans="1:22" ht="24.95" customHeight="1">
      <c r="B31" s="143" t="s">
        <v>14</v>
      </c>
      <c r="C31" s="99"/>
      <c r="D31" s="99"/>
      <c r="E31" s="99"/>
      <c r="F31" s="144"/>
      <c r="G31" s="137"/>
      <c r="H31" s="123"/>
      <c r="I31" s="136"/>
      <c r="M31" s="129">
        <f>M10*100</f>
        <v>89.000000000000028</v>
      </c>
      <c r="N31" s="129">
        <f>N10*100</f>
        <v>6</v>
      </c>
      <c r="O31" s="129">
        <f>O10*100</f>
        <v>84.000000000000028</v>
      </c>
      <c r="P31" s="129">
        <f>P10*100</f>
        <v>6</v>
      </c>
      <c r="Q31" s="129">
        <f>Q10*100</f>
        <v>100</v>
      </c>
      <c r="R31" s="94"/>
      <c r="S31" s="95"/>
      <c r="T31"/>
      <c r="U31"/>
      <c r="V31"/>
    </row>
    <row r="32" spans="1:22" ht="78.599999999999994" customHeight="1">
      <c r="B32" s="145" t="s">
        <v>142</v>
      </c>
      <c r="C32" s="146"/>
      <c r="D32" s="146"/>
      <c r="E32" s="146"/>
      <c r="F32" s="107"/>
      <c r="G32" s="147"/>
      <c r="H32" s="147"/>
      <c r="I32" s="147"/>
      <c r="J32"/>
      <c r="K32"/>
      <c r="L32"/>
      <c r="M32" s="139"/>
      <c r="N32" s="139"/>
      <c r="O32" s="139"/>
      <c r="P32" s="139"/>
      <c r="Q32" s="139"/>
      <c r="R32" s="140">
        <f>AVERAGE(Q31,O31,M31)</f>
        <v>91.000000000000014</v>
      </c>
      <c r="S32" s="126"/>
      <c r="T32"/>
      <c r="U32"/>
      <c r="V32"/>
    </row>
    <row r="33" spans="2:22" ht="90.95" customHeight="1">
      <c r="B33" s="145"/>
      <c r="C33" s="148"/>
      <c r="D33" s="148"/>
      <c r="E33" s="148"/>
      <c r="F33" s="142"/>
      <c r="G33" s="147"/>
      <c r="H33" s="147"/>
      <c r="I33" s="147"/>
      <c r="J33"/>
      <c r="K33"/>
      <c r="L33"/>
      <c r="M33" s="93">
        <v>100</v>
      </c>
      <c r="N33" s="93">
        <v>100</v>
      </c>
      <c r="O33" s="93">
        <v>100</v>
      </c>
      <c r="P33" s="93">
        <v>100</v>
      </c>
      <c r="Q33" s="93">
        <v>100</v>
      </c>
      <c r="R33" s="125"/>
      <c r="S33" s="126"/>
      <c r="T33"/>
      <c r="U33"/>
      <c r="V33"/>
    </row>
    <row r="34" spans="2:22" ht="18">
      <c r="B34" s="145"/>
      <c r="C34" s="149"/>
      <c r="D34" s="149"/>
      <c r="E34" s="149"/>
      <c r="F34" s="142"/>
      <c r="G34" s="147"/>
      <c r="H34" s="147"/>
      <c r="I34" s="147"/>
      <c r="J34"/>
      <c r="K34"/>
      <c r="L34"/>
      <c r="R34" s="125"/>
      <c r="S34" s="126"/>
      <c r="T34"/>
      <c r="U34"/>
      <c r="V34"/>
    </row>
    <row r="35" spans="2:22" ht="24.95" customHeight="1">
      <c r="B35" s="150"/>
      <c r="C35" s="151"/>
      <c r="D35" s="151"/>
      <c r="E35" s="151"/>
      <c r="F35" s="142"/>
      <c r="G35" s="147"/>
      <c r="H35" s="147"/>
      <c r="I35" s="147"/>
      <c r="J35"/>
      <c r="K35"/>
      <c r="L35"/>
      <c r="R35" s="125"/>
      <c r="S35" s="126"/>
      <c r="T35"/>
      <c r="U35"/>
      <c r="V35"/>
    </row>
    <row r="36" spans="2:22" ht="24.95" customHeight="1">
      <c r="B36" s="209" t="s">
        <v>13</v>
      </c>
      <c r="C36" s="210"/>
      <c r="D36" s="210"/>
      <c r="E36" s="211"/>
      <c r="F36" s="19"/>
      <c r="G36" s="137"/>
      <c r="H36" s="123"/>
      <c r="I36" s="123"/>
      <c r="J36" s="98"/>
      <c r="L36" s="139"/>
      <c r="M36" s="139"/>
      <c r="N36" s="139"/>
      <c r="O36" s="139"/>
      <c r="P36" s="139"/>
      <c r="Q36" s="139"/>
      <c r="T36"/>
      <c r="U36"/>
      <c r="V36"/>
    </row>
    <row r="37" spans="2:22" ht="24.95" customHeight="1">
      <c r="B37" s="14" t="s">
        <v>133</v>
      </c>
      <c r="C37" s="6"/>
      <c r="D37" s="6"/>
      <c r="E37" s="6"/>
      <c r="F37" s="2"/>
      <c r="G37" s="137"/>
      <c r="H37" s="123"/>
      <c r="I37" s="123"/>
      <c r="J37" s="98"/>
      <c r="L37" s="139"/>
      <c r="M37" s="139"/>
      <c r="N37" s="139"/>
      <c r="O37" s="139"/>
      <c r="P37" s="139"/>
      <c r="Q37" s="139"/>
      <c r="T37"/>
      <c r="U37"/>
      <c r="V37"/>
    </row>
    <row r="38" spans="2:22" ht="24.95" customHeight="1">
      <c r="B38" s="14" t="s">
        <v>133</v>
      </c>
      <c r="C38" s="6"/>
      <c r="D38" s="6"/>
      <c r="E38" s="6"/>
      <c r="F38" s="7"/>
      <c r="G38" s="137"/>
      <c r="H38" s="123"/>
      <c r="I38" s="123"/>
      <c r="J38" s="98"/>
      <c r="T38"/>
      <c r="U38"/>
      <c r="V38"/>
    </row>
    <row r="39" spans="2:22" ht="24.95" customHeight="1">
      <c r="B39" s="28"/>
      <c r="C39" s="6"/>
      <c r="D39" s="6"/>
      <c r="E39" s="6"/>
      <c r="F39" s="7"/>
      <c r="G39" s="152"/>
      <c r="T39"/>
      <c r="U39"/>
      <c r="V39"/>
    </row>
    <row r="40" spans="2:22" ht="24.95" customHeight="1">
      <c r="B40" s="212" t="s">
        <v>14</v>
      </c>
      <c r="C40" s="213"/>
      <c r="D40" s="213"/>
      <c r="E40" s="214"/>
      <c r="F40" s="9"/>
      <c r="G40" s="152"/>
      <c r="T40"/>
      <c r="U40"/>
      <c r="V40"/>
    </row>
    <row r="41" spans="2:22" ht="24.95" customHeight="1">
      <c r="B41" s="215"/>
      <c r="C41" s="216"/>
      <c r="D41" s="216"/>
      <c r="E41" s="217"/>
      <c r="F41" s="2"/>
      <c r="T41"/>
      <c r="U41"/>
      <c r="V41"/>
    </row>
    <row r="42" spans="2:22" ht="24.95" customHeight="1">
      <c r="B42" s="218"/>
      <c r="C42" s="219"/>
      <c r="D42" s="219"/>
      <c r="E42" s="220"/>
      <c r="F42" s="10"/>
      <c r="T42"/>
      <c r="U42"/>
      <c r="V42"/>
    </row>
    <row r="43" spans="2:22" ht="24.95" customHeight="1">
      <c r="B43" s="221" t="s">
        <v>15</v>
      </c>
      <c r="C43" s="222"/>
      <c r="D43" s="222"/>
      <c r="E43" s="223"/>
      <c r="F43" s="10"/>
      <c r="T43"/>
      <c r="U43"/>
      <c r="V43"/>
    </row>
    <row r="44" spans="2:22" ht="24.95" customHeight="1">
      <c r="B44" s="225"/>
      <c r="C44" s="226"/>
      <c r="D44" s="226"/>
      <c r="E44" s="227"/>
      <c r="F44" s="10"/>
      <c r="T44"/>
      <c r="U44"/>
      <c r="V44"/>
    </row>
    <row r="45" spans="2:22" ht="24.95" customHeight="1">
      <c r="B45" s="225"/>
      <c r="C45" s="226"/>
      <c r="D45" s="226"/>
      <c r="E45" s="227"/>
      <c r="F45" s="10"/>
      <c r="H45" s="92"/>
      <c r="I45" s="92"/>
      <c r="J45" s="139"/>
      <c r="K45" s="139"/>
      <c r="R45" s="139"/>
      <c r="S45"/>
      <c r="T45"/>
      <c r="U45"/>
      <c r="V45"/>
    </row>
    <row r="46" spans="2:22" ht="24.95" customHeight="1">
      <c r="B46" s="221" t="s">
        <v>16</v>
      </c>
      <c r="C46" s="222"/>
      <c r="D46" s="222"/>
      <c r="E46" s="223"/>
      <c r="F46" s="10"/>
      <c r="H46" s="92"/>
      <c r="I46" s="92"/>
      <c r="J46" s="139"/>
      <c r="K46" s="139"/>
      <c r="R46" s="139"/>
      <c r="S46"/>
      <c r="T46"/>
      <c r="U46"/>
      <c r="V46"/>
    </row>
    <row r="47" spans="2:22" ht="24.95" customHeight="1">
      <c r="B47" s="228" t="s">
        <v>143</v>
      </c>
      <c r="C47" s="229"/>
      <c r="D47" s="229"/>
      <c r="E47" s="230"/>
      <c r="F47" s="10"/>
      <c r="H47" s="92"/>
      <c r="I47" s="92"/>
      <c r="J47" s="139"/>
      <c r="K47" s="139"/>
      <c r="R47" s="139"/>
      <c r="S47"/>
      <c r="T47"/>
      <c r="U47"/>
      <c r="V47"/>
    </row>
    <row r="48" spans="2:22" ht="24.95" customHeight="1">
      <c r="B48" s="231" t="s">
        <v>144</v>
      </c>
      <c r="C48" s="231"/>
      <c r="D48" s="231"/>
      <c r="E48" s="231"/>
      <c r="F48" s="10"/>
      <c r="H48" s="92"/>
      <c r="I48" s="92"/>
      <c r="J48" s="139"/>
      <c r="K48" s="139"/>
      <c r="R48" s="139"/>
      <c r="S48"/>
      <c r="T48"/>
      <c r="U48"/>
      <c r="V48"/>
    </row>
    <row r="49" spans="2:18" s="74" customFormat="1" ht="24.95" customHeight="1">
      <c r="B49" s="224"/>
      <c r="C49" s="224"/>
      <c r="D49" s="224"/>
      <c r="E49" s="224"/>
      <c r="F49" s="23"/>
      <c r="G49" s="157"/>
      <c r="H49" s="152"/>
      <c r="I49" s="152"/>
      <c r="J49" s="93"/>
      <c r="K49" s="93"/>
      <c r="L49" s="93"/>
      <c r="M49" s="93"/>
      <c r="N49" s="93"/>
      <c r="O49" s="93"/>
      <c r="P49" s="93"/>
      <c r="Q49" s="93"/>
      <c r="R49" s="93"/>
    </row>
    <row r="50" spans="2:18" s="74" customFormat="1" ht="24.95" customHeight="1">
      <c r="B50" s="224"/>
      <c r="C50" s="224"/>
      <c r="D50" s="224"/>
      <c r="E50" s="224"/>
      <c r="F50" s="171"/>
      <c r="G50" s="157"/>
      <c r="H50" s="152"/>
      <c r="I50" s="152"/>
      <c r="J50" s="93"/>
      <c r="K50" s="93"/>
      <c r="L50" s="93"/>
      <c r="M50" s="93"/>
      <c r="N50" s="93"/>
      <c r="O50" s="93"/>
      <c r="P50" s="93"/>
      <c r="Q50" s="93"/>
      <c r="R50" s="93"/>
    </row>
    <row r="51" spans="2:18" s="74" customFormat="1" ht="24.95" customHeight="1">
      <c r="B51" s="155"/>
      <c r="C51" s="153"/>
      <c r="D51" s="153"/>
      <c r="E51" s="154"/>
      <c r="F51" s="156"/>
      <c r="G51" s="157"/>
      <c r="H51" s="152"/>
      <c r="I51" s="152"/>
      <c r="J51" s="93"/>
      <c r="K51" s="93"/>
      <c r="L51" s="93"/>
      <c r="M51" s="93"/>
      <c r="N51" s="93"/>
      <c r="O51" s="93"/>
      <c r="P51" s="93"/>
      <c r="Q51" s="93"/>
      <c r="R51" s="93"/>
    </row>
    <row r="52" spans="2:18" s="74" customFormat="1" ht="24.95" customHeight="1">
      <c r="B52" s="155"/>
      <c r="C52" s="153"/>
      <c r="D52" s="153"/>
      <c r="E52" s="154"/>
      <c r="F52" s="128"/>
      <c r="G52" s="157"/>
      <c r="H52" s="152"/>
      <c r="I52" s="152"/>
      <c r="J52" s="93"/>
      <c r="K52" s="93"/>
      <c r="L52" s="93"/>
      <c r="M52" s="93"/>
      <c r="N52" s="93"/>
      <c r="O52" s="93"/>
      <c r="P52" s="93"/>
      <c r="Q52" s="93"/>
      <c r="R52" s="93"/>
    </row>
    <row r="53" spans="2:18" s="74" customFormat="1" ht="24.95" customHeight="1">
      <c r="B53" s="155"/>
      <c r="C53" s="153"/>
      <c r="D53" s="153"/>
      <c r="E53" s="154"/>
      <c r="F53" s="128"/>
      <c r="G53" s="157"/>
      <c r="H53" s="152"/>
      <c r="I53" s="152"/>
      <c r="J53" s="93"/>
      <c r="K53" s="93"/>
      <c r="L53" s="93"/>
      <c r="M53" s="93"/>
      <c r="N53" s="93"/>
      <c r="O53" s="93"/>
      <c r="P53" s="93"/>
      <c r="Q53" s="93"/>
      <c r="R53" s="93"/>
    </row>
    <row r="54" spans="2:18" s="74" customFormat="1" ht="24.95" customHeight="1">
      <c r="B54" s="155"/>
      <c r="C54" s="153"/>
      <c r="D54" s="153"/>
      <c r="E54" s="154"/>
      <c r="F54" s="128"/>
      <c r="G54" s="157"/>
      <c r="H54" s="152"/>
      <c r="I54" s="152"/>
      <c r="J54" s="93"/>
      <c r="K54" s="93"/>
      <c r="L54" s="93"/>
      <c r="M54" s="93"/>
      <c r="N54" s="93"/>
      <c r="O54" s="93"/>
      <c r="P54" s="93"/>
      <c r="Q54" s="93"/>
      <c r="R54" s="93"/>
    </row>
    <row r="55" spans="2:18" s="74" customFormat="1" ht="24.95" customHeight="1">
      <c r="B55" s="155"/>
      <c r="C55" s="92"/>
      <c r="D55" s="92"/>
      <c r="E55" s="152"/>
      <c r="F55" s="128"/>
      <c r="G55" s="157"/>
      <c r="H55" s="152"/>
      <c r="I55" s="152"/>
      <c r="J55" s="93"/>
      <c r="K55" s="93"/>
      <c r="L55" s="93"/>
      <c r="M55" s="93"/>
      <c r="N55" s="93"/>
      <c r="O55" s="93"/>
      <c r="P55" s="93"/>
      <c r="Q55" s="93"/>
      <c r="R55" s="93"/>
    </row>
    <row r="56" spans="2:18" s="74" customFormat="1" ht="24.95" customHeight="1">
      <c r="B56" s="155"/>
      <c r="C56" s="92"/>
      <c r="D56" s="92"/>
      <c r="E56" s="152"/>
      <c r="F56" s="128"/>
      <c r="G56" s="157"/>
      <c r="H56" s="152"/>
      <c r="I56" s="152"/>
      <c r="J56" s="93"/>
      <c r="K56" s="93"/>
      <c r="L56" s="93"/>
      <c r="M56" s="93"/>
      <c r="N56" s="93"/>
      <c r="O56" s="93"/>
      <c r="P56" s="93"/>
      <c r="Q56" s="93"/>
      <c r="R56" s="93"/>
    </row>
    <row r="57" spans="2:18" s="74" customFormat="1" ht="24.95" customHeight="1">
      <c r="B57" s="155"/>
      <c r="C57" s="92"/>
      <c r="D57" s="92"/>
      <c r="E57" s="152"/>
      <c r="F57" s="128"/>
      <c r="G57" s="157"/>
      <c r="H57" s="152"/>
      <c r="I57" s="152"/>
      <c r="J57" s="93"/>
      <c r="K57" s="93"/>
      <c r="L57" s="93"/>
      <c r="M57" s="93"/>
      <c r="N57" s="93"/>
      <c r="O57" s="93"/>
      <c r="P57" s="93"/>
      <c r="Q57" s="93"/>
      <c r="R57" s="93"/>
    </row>
    <row r="58" spans="2:18" s="74" customFormat="1" ht="24.95" customHeight="1">
      <c r="B58" s="155"/>
      <c r="C58" s="92"/>
      <c r="D58" s="92"/>
      <c r="E58" s="152"/>
      <c r="F58" s="128"/>
      <c r="G58" s="157"/>
      <c r="H58" s="152"/>
      <c r="I58" s="152"/>
      <c r="J58" s="93"/>
      <c r="K58" s="93"/>
      <c r="L58" s="93"/>
      <c r="M58" s="93"/>
      <c r="N58" s="93"/>
      <c r="O58" s="93"/>
      <c r="P58" s="93"/>
      <c r="Q58" s="93"/>
      <c r="R58" s="93"/>
    </row>
    <row r="59" spans="2:18" s="74" customFormat="1" ht="24.95" customHeight="1">
      <c r="B59" s="155"/>
      <c r="C59" s="92"/>
      <c r="D59" s="92"/>
      <c r="E59" s="152"/>
      <c r="F59" s="128"/>
      <c r="G59" s="157"/>
      <c r="H59" s="152"/>
      <c r="I59" s="152"/>
      <c r="J59" s="93"/>
      <c r="K59" s="93"/>
      <c r="L59" s="93"/>
      <c r="M59" s="93"/>
      <c r="N59" s="93"/>
      <c r="O59" s="93"/>
      <c r="P59" s="93"/>
      <c r="Q59" s="93"/>
      <c r="R59" s="93"/>
    </row>
    <row r="60" spans="2:18" s="74" customFormat="1" ht="24.95" customHeight="1">
      <c r="B60" s="155"/>
      <c r="C60" s="92"/>
      <c r="D60" s="92"/>
      <c r="E60" s="152"/>
      <c r="F60" s="128"/>
      <c r="G60" s="157"/>
      <c r="H60" s="152"/>
      <c r="I60" s="152"/>
      <c r="J60" s="93"/>
      <c r="K60" s="93"/>
      <c r="L60" s="93"/>
      <c r="M60" s="93"/>
      <c r="N60" s="93"/>
      <c r="O60" s="93"/>
      <c r="P60" s="93"/>
      <c r="Q60" s="93"/>
      <c r="R60" s="93"/>
    </row>
    <row r="61" spans="2:18" s="74" customFormat="1" ht="24.95" customHeight="1">
      <c r="B61" s="155"/>
      <c r="C61" s="92"/>
      <c r="D61" s="92"/>
      <c r="E61" s="152"/>
      <c r="F61" s="128"/>
      <c r="G61" s="157"/>
      <c r="H61" s="152"/>
      <c r="I61" s="152"/>
      <c r="J61" s="93"/>
      <c r="K61" s="93"/>
      <c r="L61" s="93"/>
      <c r="M61" s="93"/>
      <c r="N61" s="93"/>
      <c r="O61" s="93"/>
      <c r="P61" s="93"/>
      <c r="Q61" s="93"/>
      <c r="R61" s="93"/>
    </row>
    <row r="62" spans="2:18" s="74" customFormat="1" ht="24.95" customHeight="1">
      <c r="B62" s="155"/>
      <c r="C62" s="92"/>
      <c r="D62" s="92"/>
      <c r="E62" s="152"/>
      <c r="F62" s="128"/>
      <c r="G62" s="157"/>
      <c r="H62" s="152"/>
      <c r="I62" s="152"/>
      <c r="J62" s="93"/>
      <c r="K62" s="93"/>
      <c r="L62" s="93"/>
      <c r="M62" s="93"/>
      <c r="N62" s="93"/>
      <c r="O62" s="93"/>
      <c r="P62" s="93"/>
      <c r="Q62" s="93"/>
      <c r="R62" s="93"/>
    </row>
    <row r="63" spans="2:18" s="74" customFormat="1" ht="24.95" customHeight="1">
      <c r="B63" s="155"/>
      <c r="C63" s="92"/>
      <c r="D63" s="92"/>
      <c r="E63" s="152"/>
      <c r="F63" s="128"/>
      <c r="G63" s="157"/>
      <c r="H63" s="152"/>
      <c r="I63" s="152"/>
      <c r="J63" s="93"/>
      <c r="K63" s="93"/>
      <c r="L63" s="93"/>
      <c r="M63" s="93"/>
      <c r="N63" s="93"/>
      <c r="O63" s="93"/>
      <c r="P63" s="93"/>
      <c r="Q63" s="93"/>
      <c r="R63" s="93"/>
    </row>
    <row r="64" spans="2:18" s="74" customFormat="1" ht="24.95" customHeight="1">
      <c r="B64" s="155"/>
      <c r="C64" s="92"/>
      <c r="D64" s="92"/>
      <c r="E64" s="152"/>
      <c r="F64" s="128"/>
      <c r="G64" s="157"/>
      <c r="H64" s="152"/>
      <c r="I64" s="152"/>
      <c r="J64" s="93"/>
      <c r="K64" s="93"/>
      <c r="L64" s="93"/>
      <c r="M64" s="93"/>
      <c r="N64" s="93"/>
      <c r="O64" s="93"/>
      <c r="P64" s="93"/>
      <c r="Q64" s="93"/>
      <c r="R64" s="93"/>
    </row>
    <row r="65" spans="2:18" s="74" customFormat="1" ht="24.95" customHeight="1">
      <c r="B65" s="155"/>
      <c r="C65" s="92"/>
      <c r="D65" s="92"/>
      <c r="E65" s="152"/>
      <c r="F65" s="128"/>
      <c r="G65" s="157"/>
      <c r="H65" s="152"/>
      <c r="I65" s="152"/>
      <c r="J65" s="93"/>
      <c r="K65" s="93"/>
      <c r="L65" s="93"/>
      <c r="M65" s="93"/>
      <c r="N65" s="93"/>
      <c r="O65" s="93"/>
      <c r="P65" s="93"/>
      <c r="Q65" s="93"/>
      <c r="R65" s="93"/>
    </row>
    <row r="66" spans="2:18" s="74" customFormat="1" ht="24.95" customHeight="1">
      <c r="B66" s="155"/>
      <c r="C66" s="92"/>
      <c r="D66" s="92"/>
      <c r="E66" s="152"/>
      <c r="F66" s="128"/>
      <c r="G66" s="157"/>
      <c r="H66" s="152"/>
      <c r="I66" s="152"/>
      <c r="J66" s="93"/>
      <c r="K66" s="93"/>
      <c r="L66" s="93"/>
      <c r="M66" s="93"/>
      <c r="N66" s="93"/>
      <c r="O66" s="93"/>
      <c r="P66" s="93"/>
      <c r="Q66" s="93"/>
      <c r="R66" s="93"/>
    </row>
    <row r="67" spans="2:18" s="74" customFormat="1" ht="24.95" customHeight="1">
      <c r="B67" s="155"/>
      <c r="C67" s="92"/>
      <c r="D67" s="92"/>
      <c r="E67" s="152"/>
      <c r="F67" s="128"/>
      <c r="G67" s="157"/>
      <c r="H67" s="152"/>
      <c r="I67" s="152"/>
      <c r="J67" s="93"/>
      <c r="K67" s="93"/>
      <c r="L67" s="93"/>
      <c r="M67" s="93"/>
      <c r="N67" s="93"/>
      <c r="O67" s="93"/>
      <c r="P67" s="93"/>
      <c r="Q67" s="93"/>
      <c r="R67" s="93"/>
    </row>
    <row r="68" spans="2:18" s="74" customFormat="1" ht="24.95" customHeight="1">
      <c r="B68" s="155"/>
      <c r="C68" s="92"/>
      <c r="D68" s="92"/>
      <c r="E68" s="152"/>
      <c r="F68" s="128"/>
      <c r="G68" s="157"/>
      <c r="H68" s="152"/>
      <c r="I68" s="152"/>
      <c r="J68" s="93"/>
      <c r="K68" s="93"/>
      <c r="L68" s="93"/>
      <c r="M68" s="93"/>
      <c r="N68" s="93"/>
      <c r="O68" s="93"/>
      <c r="P68" s="93"/>
      <c r="Q68" s="93"/>
      <c r="R68" s="93"/>
    </row>
    <row r="69" spans="2:18" s="74" customFormat="1" ht="24.95" customHeight="1">
      <c r="B69" s="155"/>
      <c r="C69" s="92"/>
      <c r="D69" s="92"/>
      <c r="E69" s="152"/>
      <c r="F69" s="128"/>
      <c r="G69" s="157"/>
      <c r="H69" s="152"/>
      <c r="I69" s="152"/>
      <c r="J69" s="93"/>
      <c r="K69" s="93"/>
      <c r="L69" s="93"/>
      <c r="M69" s="93"/>
      <c r="N69" s="93"/>
      <c r="O69" s="93"/>
      <c r="P69" s="93"/>
      <c r="Q69" s="93"/>
      <c r="R69" s="93"/>
    </row>
    <row r="70" spans="2:18" s="74" customFormat="1" ht="24.95" customHeight="1">
      <c r="B70" s="155"/>
      <c r="C70" s="92"/>
      <c r="D70" s="92"/>
      <c r="E70" s="152"/>
      <c r="F70" s="128"/>
      <c r="G70" s="157"/>
      <c r="H70" s="152"/>
      <c r="I70" s="152"/>
      <c r="J70" s="93"/>
      <c r="K70" s="93"/>
      <c r="L70" s="93"/>
      <c r="M70" s="93"/>
      <c r="N70" s="93"/>
      <c r="O70" s="93"/>
      <c r="P70" s="93"/>
      <c r="Q70" s="93"/>
      <c r="R70" s="93"/>
    </row>
    <row r="71" spans="2:18" s="74" customFormat="1" ht="24.95" customHeight="1">
      <c r="B71" s="155"/>
      <c r="C71" s="92"/>
      <c r="D71" s="92"/>
      <c r="E71" s="152"/>
      <c r="F71" s="128"/>
      <c r="G71" s="157"/>
      <c r="H71" s="152"/>
      <c r="I71" s="152"/>
      <c r="J71" s="93"/>
      <c r="K71" s="93"/>
      <c r="L71" s="93"/>
      <c r="M71" s="93"/>
      <c r="N71" s="93"/>
      <c r="O71" s="93"/>
      <c r="P71" s="93"/>
      <c r="Q71" s="93"/>
      <c r="R71" s="93"/>
    </row>
    <row r="72" spans="2:18" s="74" customFormat="1" ht="24.95" customHeight="1">
      <c r="B72" s="155"/>
      <c r="C72" s="92"/>
      <c r="D72" s="92"/>
      <c r="E72" s="152"/>
      <c r="F72" s="128"/>
      <c r="G72" s="157"/>
      <c r="H72" s="152"/>
      <c r="I72" s="152"/>
      <c r="J72" s="93"/>
      <c r="K72" s="93"/>
      <c r="L72" s="93"/>
      <c r="M72" s="93"/>
      <c r="N72" s="93"/>
      <c r="O72" s="93"/>
      <c r="P72" s="93"/>
      <c r="Q72" s="93"/>
      <c r="R72" s="93"/>
    </row>
    <row r="73" spans="2:18" s="74" customFormat="1" ht="24.95" customHeight="1">
      <c r="B73" s="155"/>
      <c r="C73" s="92"/>
      <c r="D73" s="92"/>
      <c r="E73" s="152"/>
      <c r="F73" s="158"/>
      <c r="G73" s="157"/>
      <c r="H73" s="152"/>
      <c r="I73" s="152"/>
      <c r="J73" s="93"/>
      <c r="K73" s="93"/>
      <c r="L73" s="93"/>
      <c r="M73" s="93"/>
      <c r="N73" s="93"/>
      <c r="O73" s="93"/>
      <c r="P73" s="93"/>
      <c r="Q73" s="93"/>
      <c r="R73" s="93"/>
    </row>
    <row r="74" spans="2:18" s="74" customFormat="1" ht="24.95" customHeight="1">
      <c r="B74" s="155"/>
      <c r="C74" s="92"/>
      <c r="D74" s="92"/>
      <c r="E74" s="152"/>
      <c r="F74" s="158"/>
      <c r="G74" s="157"/>
      <c r="H74" s="152"/>
      <c r="I74" s="152"/>
      <c r="J74" s="93"/>
      <c r="K74" s="93"/>
      <c r="L74" s="93"/>
      <c r="M74" s="93"/>
      <c r="N74" s="93"/>
      <c r="O74" s="93"/>
      <c r="P74" s="93"/>
      <c r="Q74" s="93"/>
      <c r="R74" s="93"/>
    </row>
    <row r="75" spans="2:18" s="74" customFormat="1" ht="24.95" customHeight="1">
      <c r="B75" s="155"/>
      <c r="C75" s="92"/>
      <c r="D75" s="92"/>
      <c r="E75" s="152"/>
      <c r="F75" s="158"/>
      <c r="G75" s="157"/>
      <c r="H75" s="152"/>
      <c r="I75" s="152"/>
      <c r="J75" s="93"/>
      <c r="K75" s="93"/>
      <c r="L75" s="93"/>
      <c r="M75" s="93"/>
      <c r="N75" s="93"/>
      <c r="O75" s="93"/>
      <c r="P75" s="93"/>
      <c r="Q75" s="93"/>
      <c r="R75" s="93"/>
    </row>
    <row r="76" spans="2:18" s="74" customFormat="1" ht="24.95" customHeight="1">
      <c r="B76" s="155"/>
      <c r="C76" s="92"/>
      <c r="D76" s="92"/>
      <c r="E76" s="152"/>
      <c r="F76" s="158"/>
      <c r="G76" s="157"/>
      <c r="H76" s="152"/>
      <c r="I76" s="152"/>
      <c r="J76" s="93"/>
      <c r="K76" s="93"/>
      <c r="L76" s="93"/>
      <c r="M76" s="93"/>
      <c r="N76" s="93"/>
      <c r="O76" s="93"/>
      <c r="P76" s="93"/>
      <c r="Q76" s="93"/>
      <c r="R76" s="93"/>
    </row>
    <row r="77" spans="2:18" s="74" customFormat="1" ht="24.95" customHeight="1">
      <c r="B77" s="155"/>
      <c r="C77" s="92"/>
      <c r="D77" s="92"/>
      <c r="E77" s="152"/>
      <c r="F77" s="158"/>
      <c r="G77" s="157"/>
      <c r="H77" s="152"/>
      <c r="I77" s="152"/>
      <c r="J77" s="93"/>
      <c r="K77" s="93"/>
      <c r="L77" s="93"/>
      <c r="M77" s="93"/>
      <c r="N77" s="93"/>
      <c r="O77" s="93"/>
      <c r="P77" s="93"/>
      <c r="Q77" s="93"/>
      <c r="R77" s="93"/>
    </row>
    <row r="78" spans="2:18" s="74" customFormat="1" ht="24.95" customHeight="1">
      <c r="B78" s="155"/>
      <c r="C78" s="92"/>
      <c r="D78" s="92"/>
      <c r="E78" s="152"/>
      <c r="F78" s="158"/>
      <c r="G78" s="157"/>
      <c r="H78" s="152"/>
      <c r="I78" s="152"/>
      <c r="J78" s="93"/>
      <c r="K78" s="93"/>
      <c r="L78" s="93"/>
      <c r="M78" s="93"/>
      <c r="N78" s="93"/>
      <c r="O78" s="93"/>
      <c r="P78" s="93"/>
      <c r="Q78" s="93"/>
      <c r="R78" s="93"/>
    </row>
    <row r="79" spans="2:18" s="74" customFormat="1" ht="24.95" customHeight="1">
      <c r="B79" s="155"/>
      <c r="C79" s="92"/>
      <c r="D79" s="92"/>
      <c r="E79" s="152"/>
      <c r="F79" s="158"/>
      <c r="G79" s="157"/>
      <c r="H79" s="152"/>
      <c r="I79" s="152"/>
      <c r="J79" s="93"/>
      <c r="K79" s="93"/>
      <c r="L79" s="93"/>
      <c r="M79" s="93"/>
      <c r="N79" s="93"/>
      <c r="O79" s="93"/>
      <c r="P79" s="93"/>
      <c r="Q79" s="93"/>
      <c r="R79" s="93"/>
    </row>
    <row r="80" spans="2:18" s="74" customFormat="1" ht="24.95" customHeight="1">
      <c r="B80" s="155"/>
      <c r="C80" s="92"/>
      <c r="D80" s="92"/>
      <c r="E80" s="152"/>
      <c r="F80" s="158"/>
      <c r="G80" s="157"/>
      <c r="H80" s="152"/>
      <c r="I80" s="152"/>
      <c r="J80" s="93"/>
      <c r="K80" s="93"/>
      <c r="L80" s="93"/>
      <c r="M80" s="93"/>
      <c r="N80" s="93"/>
      <c r="O80" s="93"/>
      <c r="P80" s="93"/>
      <c r="Q80" s="93"/>
      <c r="R80" s="93"/>
    </row>
    <row r="81" spans="2:18" s="74" customFormat="1" ht="24.95" customHeight="1">
      <c r="B81" s="155"/>
      <c r="C81" s="92"/>
      <c r="D81" s="92"/>
      <c r="E81" s="152"/>
      <c r="F81" s="158"/>
      <c r="G81" s="157"/>
      <c r="H81" s="152"/>
      <c r="I81" s="152"/>
      <c r="J81" s="93"/>
      <c r="K81" s="93"/>
      <c r="L81" s="93"/>
      <c r="M81" s="93"/>
      <c r="N81" s="93"/>
      <c r="O81" s="93"/>
      <c r="P81" s="93"/>
      <c r="Q81" s="93"/>
      <c r="R81" s="93"/>
    </row>
    <row r="82" spans="2:18" s="74" customFormat="1" ht="24.95" customHeight="1">
      <c r="B82" s="155"/>
      <c r="C82" s="92"/>
      <c r="D82" s="92"/>
      <c r="E82" s="152"/>
      <c r="F82" s="158"/>
      <c r="G82" s="157"/>
      <c r="H82" s="152"/>
      <c r="I82" s="152"/>
      <c r="J82" s="93"/>
      <c r="K82" s="93"/>
      <c r="L82" s="93"/>
      <c r="M82" s="93"/>
      <c r="N82" s="93"/>
      <c r="O82" s="93"/>
      <c r="P82" s="93"/>
      <c r="Q82" s="93"/>
      <c r="R82" s="93"/>
    </row>
    <row r="83" spans="2:18" s="74" customFormat="1" ht="24.95" customHeight="1">
      <c r="B83" s="155"/>
      <c r="C83" s="92"/>
      <c r="D83" s="92"/>
      <c r="E83" s="152"/>
      <c r="F83" s="158"/>
      <c r="G83" s="157"/>
      <c r="H83" s="152"/>
      <c r="I83" s="152"/>
      <c r="J83" s="93"/>
      <c r="K83" s="93"/>
      <c r="L83" s="93"/>
      <c r="M83" s="93"/>
      <c r="N83" s="93"/>
      <c r="O83" s="93"/>
      <c r="P83" s="93"/>
      <c r="Q83" s="93"/>
      <c r="R83" s="93"/>
    </row>
    <row r="84" spans="2:18" s="74" customFormat="1" ht="24.95" customHeight="1">
      <c r="B84" s="155"/>
      <c r="C84" s="92"/>
      <c r="D84" s="92"/>
      <c r="E84" s="152"/>
      <c r="F84" s="158"/>
      <c r="G84" s="157"/>
      <c r="H84" s="152"/>
      <c r="I84" s="152"/>
      <c r="J84" s="93"/>
      <c r="K84" s="93"/>
      <c r="L84" s="93"/>
      <c r="M84" s="93"/>
      <c r="N84" s="93"/>
      <c r="O84" s="93"/>
      <c r="P84" s="93"/>
      <c r="Q84" s="93"/>
      <c r="R84" s="93"/>
    </row>
    <row r="85" spans="2:18" s="74" customFormat="1" ht="24.95" customHeight="1">
      <c r="B85" s="155"/>
      <c r="C85" s="92"/>
      <c r="D85" s="92"/>
      <c r="E85" s="152"/>
      <c r="F85" s="158"/>
      <c r="G85" s="157"/>
      <c r="H85" s="152"/>
      <c r="I85" s="152"/>
      <c r="J85" s="93"/>
      <c r="K85" s="93"/>
      <c r="L85" s="93"/>
      <c r="M85" s="93"/>
      <c r="N85" s="93"/>
      <c r="O85" s="93"/>
      <c r="P85" s="93"/>
      <c r="Q85" s="93"/>
      <c r="R85" s="93"/>
    </row>
    <row r="86" spans="2:18" s="74" customFormat="1" ht="24.95" customHeight="1">
      <c r="B86" s="155"/>
      <c r="C86" s="92"/>
      <c r="D86" s="92"/>
      <c r="E86" s="152"/>
      <c r="F86" s="158"/>
      <c r="G86" s="157"/>
      <c r="H86" s="152"/>
      <c r="I86" s="152"/>
      <c r="J86" s="93"/>
      <c r="K86" s="93"/>
      <c r="L86" s="93"/>
      <c r="M86" s="93"/>
      <c r="N86" s="93"/>
      <c r="O86" s="93"/>
      <c r="P86" s="93"/>
      <c r="Q86" s="93"/>
      <c r="R86" s="93"/>
    </row>
    <row r="87" spans="2:18" s="74" customFormat="1" ht="24.95" customHeight="1">
      <c r="B87" s="155"/>
      <c r="C87" s="92"/>
      <c r="D87" s="92"/>
      <c r="E87" s="152"/>
      <c r="F87" s="158"/>
      <c r="G87" s="157"/>
      <c r="H87" s="152"/>
      <c r="I87" s="152"/>
      <c r="J87" s="93"/>
      <c r="K87" s="93"/>
      <c r="L87" s="93"/>
      <c r="M87" s="93"/>
      <c r="N87" s="93"/>
      <c r="O87" s="93"/>
      <c r="P87" s="93"/>
      <c r="Q87" s="93"/>
      <c r="R87" s="93"/>
    </row>
    <row r="88" spans="2:18" s="74" customFormat="1" ht="24.95" customHeight="1">
      <c r="B88" s="155"/>
      <c r="C88" s="92"/>
      <c r="D88" s="92"/>
      <c r="E88" s="152"/>
      <c r="F88" s="158"/>
      <c r="G88" s="157"/>
      <c r="H88" s="152"/>
      <c r="I88" s="152"/>
      <c r="J88" s="93"/>
      <c r="K88" s="93"/>
      <c r="L88" s="93"/>
      <c r="M88" s="93"/>
      <c r="N88" s="93"/>
      <c r="O88" s="93"/>
      <c r="P88" s="93"/>
      <c r="Q88" s="93"/>
      <c r="R88" s="93"/>
    </row>
    <row r="89" spans="2:18" s="74" customFormat="1" ht="24.95" customHeight="1">
      <c r="B89" s="155"/>
      <c r="C89" s="92"/>
      <c r="D89" s="92"/>
      <c r="E89" s="152"/>
      <c r="F89" s="158"/>
      <c r="G89" s="157"/>
      <c r="H89" s="152"/>
      <c r="I89" s="152"/>
      <c r="J89" s="93"/>
      <c r="K89" s="93"/>
      <c r="L89" s="93"/>
      <c r="M89" s="93"/>
      <c r="N89" s="93"/>
      <c r="O89" s="93"/>
      <c r="P89" s="93"/>
      <c r="Q89" s="93"/>
      <c r="R89" s="93"/>
    </row>
    <row r="90" spans="2:18" s="74" customFormat="1" ht="24.95" customHeight="1">
      <c r="B90" s="155"/>
      <c r="C90" s="92"/>
      <c r="D90" s="92"/>
      <c r="E90" s="152"/>
      <c r="F90" s="158"/>
      <c r="G90" s="157"/>
      <c r="H90" s="152"/>
      <c r="I90" s="152"/>
      <c r="J90" s="93"/>
      <c r="K90" s="93"/>
      <c r="L90" s="93"/>
      <c r="M90" s="93"/>
      <c r="N90" s="93"/>
      <c r="O90" s="93"/>
      <c r="P90" s="93"/>
      <c r="Q90" s="93"/>
      <c r="R90" s="93"/>
    </row>
    <row r="91" spans="2:18" s="74" customFormat="1" ht="24.95" customHeight="1">
      <c r="B91" s="155"/>
      <c r="C91" s="92"/>
      <c r="D91" s="92"/>
      <c r="E91" s="152"/>
      <c r="F91" s="158"/>
      <c r="G91" s="157"/>
      <c r="H91" s="152"/>
      <c r="I91" s="152"/>
      <c r="J91" s="93"/>
      <c r="K91" s="93"/>
      <c r="L91" s="93"/>
      <c r="M91" s="93"/>
      <c r="N91" s="93"/>
      <c r="O91" s="93"/>
      <c r="P91" s="93"/>
      <c r="Q91" s="93"/>
      <c r="R91" s="93"/>
    </row>
    <row r="92" spans="2:18" s="74" customFormat="1" ht="24.95" customHeight="1">
      <c r="B92" s="155"/>
      <c r="C92" s="92"/>
      <c r="D92" s="92"/>
      <c r="E92" s="152"/>
      <c r="F92" s="158"/>
      <c r="G92" s="157"/>
      <c r="H92" s="152"/>
      <c r="I92" s="152"/>
      <c r="J92" s="93"/>
      <c r="K92" s="93"/>
      <c r="L92" s="93"/>
      <c r="M92" s="93"/>
      <c r="N92" s="93"/>
      <c r="O92" s="93"/>
      <c r="P92" s="93"/>
      <c r="Q92" s="93"/>
      <c r="R92" s="93"/>
    </row>
    <row r="93" spans="2:18" s="74" customFormat="1" ht="24.95" customHeight="1">
      <c r="B93" s="155"/>
      <c r="C93" s="92"/>
      <c r="D93" s="92"/>
      <c r="E93" s="152"/>
      <c r="F93" s="158"/>
      <c r="G93" s="157"/>
      <c r="H93" s="152"/>
      <c r="I93" s="152"/>
      <c r="J93" s="93"/>
      <c r="K93" s="93"/>
      <c r="L93" s="93"/>
      <c r="M93" s="93"/>
      <c r="N93" s="93"/>
      <c r="O93" s="93"/>
      <c r="P93" s="93"/>
      <c r="Q93" s="93"/>
      <c r="R93" s="93"/>
    </row>
    <row r="94" spans="2:18" s="74" customFormat="1" ht="24.95" customHeight="1">
      <c r="B94" s="155"/>
      <c r="C94" s="92"/>
      <c r="D94" s="92"/>
      <c r="E94" s="152"/>
      <c r="F94" s="158"/>
      <c r="G94" s="157"/>
      <c r="H94" s="152"/>
      <c r="I94" s="152"/>
      <c r="J94" s="93"/>
      <c r="K94" s="93"/>
      <c r="L94" s="93"/>
      <c r="M94" s="93"/>
      <c r="N94" s="93"/>
      <c r="O94" s="93"/>
      <c r="P94" s="93"/>
      <c r="Q94" s="93"/>
      <c r="R94" s="93"/>
    </row>
    <row r="95" spans="2:18" s="74" customFormat="1" ht="24.95" customHeight="1">
      <c r="B95" s="155"/>
      <c r="C95" s="92"/>
      <c r="D95" s="92"/>
      <c r="E95" s="152"/>
      <c r="F95" s="158"/>
      <c r="G95" s="157"/>
      <c r="H95" s="152"/>
      <c r="I95" s="152"/>
      <c r="J95" s="93"/>
      <c r="K95" s="93"/>
      <c r="L95" s="93"/>
      <c r="M95" s="93"/>
      <c r="N95" s="93"/>
      <c r="O95" s="93"/>
      <c r="P95" s="93"/>
      <c r="Q95" s="93"/>
      <c r="R95" s="93"/>
    </row>
    <row r="96" spans="2:18" s="74" customFormat="1" ht="24.95" customHeight="1">
      <c r="B96" s="155"/>
      <c r="C96" s="92"/>
      <c r="D96" s="92"/>
      <c r="E96" s="152"/>
      <c r="F96" s="158"/>
      <c r="G96" s="157"/>
      <c r="H96" s="152"/>
      <c r="I96" s="152"/>
      <c r="J96" s="93"/>
      <c r="K96" s="93"/>
      <c r="L96" s="93"/>
      <c r="M96" s="93"/>
      <c r="N96" s="93"/>
      <c r="O96" s="93"/>
      <c r="P96" s="93"/>
      <c r="Q96" s="93"/>
      <c r="R96" s="93"/>
    </row>
    <row r="97" spans="2:18" s="74" customFormat="1" ht="24.95" customHeight="1">
      <c r="B97" s="155"/>
      <c r="C97" s="92"/>
      <c r="D97" s="92"/>
      <c r="E97" s="152"/>
      <c r="F97" s="158"/>
      <c r="G97" s="157"/>
      <c r="H97" s="152"/>
      <c r="I97" s="152"/>
      <c r="J97" s="93"/>
      <c r="K97" s="93"/>
      <c r="L97" s="93"/>
      <c r="M97" s="93"/>
      <c r="N97" s="93"/>
      <c r="O97" s="93"/>
      <c r="P97" s="93"/>
      <c r="Q97" s="93"/>
      <c r="R97" s="93"/>
    </row>
    <row r="98" spans="2:18" s="74" customFormat="1" ht="24.95" customHeight="1">
      <c r="B98" s="155"/>
      <c r="C98" s="92"/>
      <c r="D98" s="92"/>
      <c r="E98" s="152"/>
      <c r="F98" s="158"/>
      <c r="G98" s="157"/>
      <c r="H98" s="152"/>
      <c r="I98" s="152"/>
      <c r="J98" s="93"/>
      <c r="K98" s="93"/>
      <c r="L98" s="93"/>
      <c r="M98" s="93"/>
      <c r="N98" s="93"/>
      <c r="O98" s="93"/>
      <c r="P98" s="93"/>
      <c r="Q98" s="93"/>
      <c r="R98" s="93"/>
    </row>
    <row r="99" spans="2:18" s="74" customFormat="1" ht="24.95" customHeight="1">
      <c r="B99" s="155"/>
      <c r="C99" s="92"/>
      <c r="D99" s="92"/>
      <c r="E99" s="152"/>
      <c r="F99" s="158"/>
      <c r="G99" s="157"/>
      <c r="H99" s="152"/>
      <c r="I99" s="152"/>
      <c r="J99" s="93"/>
      <c r="K99" s="93"/>
      <c r="L99" s="93"/>
      <c r="M99" s="93"/>
      <c r="N99" s="93"/>
      <c r="O99" s="93"/>
      <c r="P99" s="93"/>
      <c r="Q99" s="93"/>
      <c r="R99" s="93"/>
    </row>
    <row r="100" spans="2:18" s="74" customFormat="1" ht="24.95" customHeight="1">
      <c r="B100" s="155"/>
      <c r="C100" s="92"/>
      <c r="D100" s="92"/>
      <c r="E100" s="152"/>
      <c r="F100" s="158"/>
      <c r="G100" s="157"/>
      <c r="H100" s="152"/>
      <c r="I100" s="152"/>
      <c r="J100" s="93"/>
      <c r="K100" s="93"/>
      <c r="L100" s="93"/>
      <c r="M100" s="93"/>
      <c r="N100" s="93"/>
      <c r="O100" s="93"/>
      <c r="P100" s="93"/>
      <c r="Q100" s="93"/>
      <c r="R100" s="93"/>
    </row>
    <row r="101" spans="2:18" s="74" customFormat="1" ht="24.95" customHeight="1">
      <c r="B101" s="155"/>
      <c r="C101" s="92"/>
      <c r="D101" s="92"/>
      <c r="E101" s="152"/>
      <c r="F101" s="158"/>
      <c r="G101" s="157"/>
      <c r="H101" s="152"/>
      <c r="I101" s="152"/>
      <c r="J101" s="93"/>
      <c r="K101" s="93"/>
      <c r="L101" s="93"/>
      <c r="M101" s="93"/>
      <c r="N101" s="93"/>
      <c r="O101" s="93"/>
      <c r="P101" s="93"/>
      <c r="Q101" s="93"/>
      <c r="R101" s="93"/>
    </row>
    <row r="102" spans="2:18" s="74" customFormat="1" ht="24.95" customHeight="1">
      <c r="B102" s="155"/>
      <c r="C102" s="92"/>
      <c r="D102" s="92"/>
      <c r="E102" s="152"/>
      <c r="F102" s="158"/>
      <c r="G102" s="157"/>
      <c r="H102" s="152"/>
      <c r="I102" s="152"/>
      <c r="J102" s="93"/>
      <c r="K102" s="93"/>
      <c r="L102" s="93"/>
      <c r="M102" s="93"/>
      <c r="N102" s="93"/>
      <c r="O102" s="93"/>
      <c r="P102" s="93"/>
      <c r="Q102" s="93"/>
      <c r="R102" s="93"/>
    </row>
    <row r="103" spans="2:18" s="74" customFormat="1" ht="24.95" customHeight="1">
      <c r="B103" s="155"/>
      <c r="C103" s="92"/>
      <c r="D103" s="92"/>
      <c r="E103" s="152"/>
      <c r="F103" s="158"/>
      <c r="G103" s="157"/>
      <c r="H103" s="152"/>
      <c r="I103" s="152"/>
      <c r="J103" s="93"/>
      <c r="K103" s="93"/>
      <c r="L103" s="93"/>
      <c r="M103" s="93"/>
      <c r="N103" s="93"/>
      <c r="O103" s="93"/>
      <c r="P103" s="93"/>
      <c r="Q103" s="93"/>
      <c r="R103" s="93"/>
    </row>
    <row r="104" spans="2:18" s="74" customFormat="1" ht="24.95" customHeight="1">
      <c r="B104" s="155"/>
      <c r="C104" s="92"/>
      <c r="D104" s="92"/>
      <c r="E104" s="152"/>
      <c r="F104" s="158"/>
      <c r="G104" s="157"/>
      <c r="H104" s="152"/>
      <c r="I104" s="152"/>
      <c r="J104" s="93"/>
      <c r="K104" s="93"/>
      <c r="L104" s="93"/>
      <c r="M104" s="93"/>
      <c r="N104" s="93"/>
      <c r="O104" s="93"/>
      <c r="P104" s="93"/>
      <c r="Q104" s="93"/>
      <c r="R104" s="93"/>
    </row>
    <row r="105" spans="2:18" s="74" customFormat="1" ht="24.95" customHeight="1">
      <c r="B105" s="155"/>
      <c r="C105" s="92"/>
      <c r="D105" s="92"/>
      <c r="E105" s="152"/>
      <c r="F105" s="158"/>
      <c r="G105" s="157"/>
      <c r="H105" s="152"/>
      <c r="I105" s="152"/>
      <c r="J105" s="93"/>
      <c r="K105" s="93"/>
      <c r="L105" s="93"/>
      <c r="M105" s="93"/>
      <c r="N105" s="93"/>
      <c r="O105" s="93"/>
      <c r="P105" s="93"/>
      <c r="Q105" s="93"/>
      <c r="R105" s="93"/>
    </row>
    <row r="106" spans="2:18" s="74" customFormat="1" ht="24.95" customHeight="1">
      <c r="B106" s="155"/>
      <c r="C106" s="92"/>
      <c r="D106" s="92"/>
      <c r="E106" s="152"/>
      <c r="F106" s="158"/>
      <c r="G106" s="157"/>
      <c r="H106" s="152"/>
      <c r="I106" s="152"/>
      <c r="J106" s="93"/>
      <c r="K106" s="93"/>
      <c r="L106" s="93"/>
      <c r="M106" s="93"/>
      <c r="N106" s="93"/>
      <c r="O106" s="93"/>
      <c r="P106" s="93"/>
      <c r="Q106" s="93"/>
      <c r="R106" s="93"/>
    </row>
    <row r="107" spans="2:18" s="74" customFormat="1" ht="24.95" customHeight="1">
      <c r="B107" s="155"/>
      <c r="C107" s="92"/>
      <c r="D107" s="92"/>
      <c r="E107" s="152"/>
      <c r="F107" s="158"/>
      <c r="G107" s="157"/>
      <c r="H107" s="152"/>
      <c r="I107" s="152"/>
      <c r="J107" s="93"/>
      <c r="K107" s="93"/>
      <c r="L107" s="93"/>
      <c r="M107" s="93"/>
      <c r="N107" s="93"/>
      <c r="O107" s="93"/>
      <c r="P107" s="93"/>
      <c r="Q107" s="93"/>
      <c r="R107" s="93"/>
    </row>
    <row r="108" spans="2:18" s="74" customFormat="1" ht="24.95" customHeight="1">
      <c r="B108" s="155"/>
      <c r="C108" s="92"/>
      <c r="D108" s="92"/>
      <c r="E108" s="152"/>
      <c r="F108" s="158"/>
      <c r="G108" s="157"/>
      <c r="H108" s="152"/>
      <c r="I108" s="152"/>
      <c r="J108" s="93"/>
      <c r="K108" s="93"/>
      <c r="L108" s="93"/>
      <c r="M108" s="93"/>
      <c r="N108" s="93"/>
      <c r="O108" s="93"/>
      <c r="P108" s="93"/>
      <c r="Q108" s="93"/>
      <c r="R108" s="93"/>
    </row>
    <row r="109" spans="2:18" s="74" customFormat="1" ht="24.95" customHeight="1">
      <c r="B109" s="155"/>
      <c r="C109" s="92"/>
      <c r="D109" s="92"/>
      <c r="E109" s="152"/>
      <c r="F109" s="158"/>
      <c r="G109" s="157"/>
      <c r="H109" s="152"/>
      <c r="I109" s="152"/>
      <c r="J109" s="93"/>
      <c r="K109" s="93"/>
      <c r="L109" s="93"/>
      <c r="M109" s="93"/>
      <c r="N109" s="93"/>
      <c r="O109" s="93"/>
      <c r="P109" s="93"/>
      <c r="Q109" s="93"/>
      <c r="R109" s="93"/>
    </row>
    <row r="110" spans="2:18" s="74" customFormat="1" ht="24.95" customHeight="1">
      <c r="B110" s="155"/>
      <c r="C110" s="92"/>
      <c r="D110" s="92"/>
      <c r="E110" s="152"/>
      <c r="F110" s="158"/>
      <c r="G110" s="157"/>
      <c r="H110" s="152"/>
      <c r="I110" s="152"/>
      <c r="J110" s="93"/>
      <c r="K110" s="93"/>
      <c r="L110" s="93"/>
      <c r="M110" s="93"/>
      <c r="N110" s="93"/>
      <c r="O110" s="93"/>
      <c r="P110" s="93"/>
      <c r="Q110" s="93"/>
      <c r="R110" s="93"/>
    </row>
    <row r="111" spans="2:18" s="74" customFormat="1" ht="24.95" customHeight="1">
      <c r="B111" s="155"/>
      <c r="C111" s="92"/>
      <c r="D111" s="92"/>
      <c r="E111" s="152"/>
      <c r="F111" s="158"/>
      <c r="G111" s="157"/>
      <c r="H111" s="152"/>
      <c r="I111" s="152"/>
      <c r="J111" s="93"/>
      <c r="K111" s="93"/>
      <c r="L111" s="93"/>
      <c r="M111" s="93"/>
      <c r="N111" s="93"/>
      <c r="O111" s="93"/>
      <c r="P111" s="93"/>
      <c r="Q111" s="93"/>
      <c r="R111" s="93"/>
    </row>
    <row r="112" spans="2:18" s="74" customFormat="1" ht="24.95" customHeight="1">
      <c r="B112" s="155"/>
      <c r="C112" s="92"/>
      <c r="D112" s="92"/>
      <c r="E112" s="152"/>
      <c r="F112" s="158"/>
      <c r="G112" s="157"/>
      <c r="H112" s="152"/>
      <c r="I112" s="152"/>
      <c r="J112" s="93"/>
      <c r="K112" s="93"/>
      <c r="L112" s="93"/>
      <c r="M112" s="93"/>
      <c r="N112" s="93"/>
      <c r="O112" s="93"/>
      <c r="P112" s="93"/>
      <c r="Q112" s="93"/>
      <c r="R112" s="93"/>
    </row>
    <row r="113" spans="2:18" s="74" customFormat="1" ht="24.95" customHeight="1">
      <c r="B113" s="155"/>
      <c r="C113" s="92"/>
      <c r="D113" s="92"/>
      <c r="E113" s="152"/>
      <c r="F113" s="158"/>
      <c r="G113" s="157"/>
      <c r="H113" s="152"/>
      <c r="I113" s="152"/>
      <c r="J113" s="93"/>
      <c r="K113" s="93"/>
      <c r="L113" s="93"/>
      <c r="M113" s="93"/>
      <c r="N113" s="93"/>
      <c r="O113" s="93"/>
      <c r="P113" s="93"/>
      <c r="Q113" s="93"/>
      <c r="R113" s="93"/>
    </row>
    <row r="114" spans="2:18" s="74" customFormat="1" ht="24.95" customHeight="1">
      <c r="B114" s="155"/>
      <c r="C114" s="92"/>
      <c r="D114" s="92"/>
      <c r="E114" s="152"/>
      <c r="F114" s="158"/>
      <c r="G114" s="157"/>
      <c r="H114" s="152"/>
      <c r="I114" s="152"/>
      <c r="J114" s="93"/>
      <c r="K114" s="93"/>
      <c r="L114" s="93"/>
      <c r="M114" s="93"/>
      <c r="N114" s="93"/>
      <c r="O114" s="93"/>
      <c r="P114" s="93"/>
      <c r="Q114" s="93"/>
      <c r="R114" s="93"/>
    </row>
    <row r="115" spans="2:18" s="74" customFormat="1" ht="24.95" customHeight="1">
      <c r="B115" s="155"/>
      <c r="C115" s="92"/>
      <c r="D115" s="92"/>
      <c r="E115" s="152"/>
      <c r="F115" s="158"/>
      <c r="G115" s="157"/>
      <c r="H115" s="152"/>
      <c r="I115" s="152"/>
      <c r="J115" s="93"/>
      <c r="K115" s="93"/>
      <c r="L115" s="93"/>
      <c r="M115" s="93"/>
      <c r="N115" s="93"/>
      <c r="O115" s="93"/>
      <c r="P115" s="93"/>
      <c r="Q115" s="93"/>
      <c r="R115" s="93"/>
    </row>
    <row r="116" spans="2:18" s="74" customFormat="1" ht="24.95" customHeight="1">
      <c r="B116" s="155"/>
      <c r="C116" s="92"/>
      <c r="D116" s="92"/>
      <c r="E116" s="152"/>
      <c r="F116" s="158"/>
      <c r="G116" s="157"/>
      <c r="H116" s="152"/>
      <c r="I116" s="152"/>
      <c r="J116" s="93"/>
      <c r="K116" s="93"/>
      <c r="L116" s="93"/>
      <c r="M116" s="93"/>
      <c r="N116" s="93"/>
      <c r="O116" s="93"/>
      <c r="P116" s="93"/>
      <c r="Q116" s="93"/>
      <c r="R116" s="93"/>
    </row>
    <row r="117" spans="2:18" s="74" customFormat="1" ht="24.95" customHeight="1">
      <c r="B117" s="155"/>
      <c r="C117" s="92"/>
      <c r="D117" s="92"/>
      <c r="E117" s="152"/>
      <c r="F117" s="158"/>
      <c r="G117" s="157"/>
      <c r="H117" s="152"/>
      <c r="I117" s="152"/>
      <c r="J117" s="93"/>
      <c r="K117" s="93"/>
      <c r="L117" s="93"/>
      <c r="M117" s="93"/>
      <c r="N117" s="93"/>
      <c r="O117" s="93"/>
      <c r="P117" s="93"/>
      <c r="Q117" s="93"/>
      <c r="R117" s="93"/>
    </row>
    <row r="118" spans="2:18" s="74" customFormat="1" ht="24.95" customHeight="1">
      <c r="B118" s="155"/>
      <c r="C118" s="92"/>
      <c r="D118" s="92"/>
      <c r="E118" s="152"/>
      <c r="F118" s="158"/>
      <c r="G118" s="157"/>
      <c r="H118" s="152"/>
      <c r="I118" s="152"/>
      <c r="J118" s="93"/>
      <c r="K118" s="93"/>
      <c r="L118" s="93"/>
      <c r="M118" s="93"/>
      <c r="N118" s="93"/>
      <c r="O118" s="93"/>
      <c r="P118" s="93"/>
      <c r="Q118" s="93"/>
      <c r="R118" s="93"/>
    </row>
    <row r="119" spans="2:18" s="74" customFormat="1" ht="24.95" customHeight="1">
      <c r="B119" s="155"/>
      <c r="C119" s="92"/>
      <c r="D119" s="92"/>
      <c r="E119" s="152"/>
      <c r="F119" s="158"/>
      <c r="G119" s="157"/>
      <c r="H119" s="152"/>
      <c r="I119" s="152"/>
      <c r="J119" s="93"/>
      <c r="K119" s="93"/>
      <c r="L119" s="93"/>
      <c r="M119" s="93"/>
      <c r="N119" s="93"/>
      <c r="O119" s="93"/>
      <c r="P119" s="93"/>
      <c r="Q119" s="93"/>
      <c r="R119" s="93"/>
    </row>
    <row r="120" spans="2:18" s="74" customFormat="1" ht="24.95" customHeight="1">
      <c r="B120" s="155"/>
      <c r="C120" s="92"/>
      <c r="D120" s="92"/>
      <c r="E120" s="152"/>
      <c r="F120" s="158"/>
      <c r="G120" s="157"/>
      <c r="H120" s="152"/>
      <c r="I120" s="152"/>
      <c r="J120" s="93"/>
      <c r="K120" s="93"/>
      <c r="L120" s="93"/>
      <c r="M120" s="93"/>
      <c r="N120" s="93"/>
      <c r="O120" s="93"/>
      <c r="P120" s="93"/>
      <c r="Q120" s="93"/>
      <c r="R120" s="93"/>
    </row>
    <row r="121" spans="2:18" s="74" customFormat="1" ht="24.95" customHeight="1">
      <c r="B121" s="155"/>
      <c r="C121" s="92"/>
      <c r="D121" s="92"/>
      <c r="E121" s="152"/>
      <c r="F121" s="158"/>
      <c r="G121" s="157"/>
      <c r="H121" s="152"/>
      <c r="I121" s="152"/>
      <c r="J121" s="93"/>
      <c r="K121" s="93"/>
      <c r="L121" s="93"/>
      <c r="M121" s="93"/>
      <c r="N121" s="93"/>
      <c r="O121" s="93"/>
      <c r="P121" s="93"/>
      <c r="Q121" s="93"/>
      <c r="R121" s="93"/>
    </row>
    <row r="122" spans="2:18" s="74" customFormat="1" ht="24.95" customHeight="1">
      <c r="B122" s="155"/>
      <c r="C122" s="92"/>
      <c r="D122" s="92"/>
      <c r="E122" s="152"/>
      <c r="F122" s="158"/>
      <c r="G122" s="157"/>
      <c r="H122" s="152"/>
      <c r="I122" s="152"/>
      <c r="J122" s="93"/>
      <c r="K122" s="93"/>
      <c r="L122" s="93"/>
      <c r="M122" s="93"/>
      <c r="N122" s="93"/>
      <c r="O122" s="93"/>
      <c r="P122" s="93"/>
      <c r="Q122" s="93"/>
      <c r="R122" s="93"/>
    </row>
    <row r="123" spans="2:18" s="74" customFormat="1" ht="24.95" customHeight="1">
      <c r="B123" s="155"/>
      <c r="C123" s="92"/>
      <c r="D123" s="92"/>
      <c r="E123" s="152"/>
      <c r="F123" s="158"/>
      <c r="G123" s="157"/>
      <c r="H123" s="152"/>
      <c r="I123" s="152"/>
      <c r="J123" s="93"/>
      <c r="K123" s="93"/>
      <c r="L123" s="93"/>
      <c r="M123" s="93"/>
      <c r="N123" s="93"/>
      <c r="O123" s="93"/>
      <c r="P123" s="93"/>
      <c r="Q123" s="93"/>
      <c r="R123" s="93"/>
    </row>
    <row r="124" spans="2:18" s="74" customFormat="1" ht="24.95" customHeight="1">
      <c r="B124" s="155"/>
      <c r="C124" s="92"/>
      <c r="D124" s="92"/>
      <c r="E124" s="152"/>
      <c r="F124" s="158"/>
      <c r="G124" s="157"/>
      <c r="H124" s="152"/>
      <c r="I124" s="152"/>
      <c r="J124" s="93"/>
      <c r="K124" s="93"/>
      <c r="L124" s="93"/>
      <c r="M124" s="93"/>
      <c r="N124" s="93"/>
      <c r="O124" s="93"/>
      <c r="P124" s="93"/>
      <c r="Q124" s="93"/>
      <c r="R124" s="93"/>
    </row>
    <row r="125" spans="2:18" s="74" customFormat="1" ht="24.95" customHeight="1">
      <c r="B125" s="155"/>
      <c r="C125" s="92"/>
      <c r="D125" s="92"/>
      <c r="E125" s="152"/>
      <c r="F125" s="158"/>
      <c r="G125" s="157"/>
      <c r="H125" s="152"/>
      <c r="I125" s="152"/>
      <c r="J125" s="93"/>
      <c r="K125" s="93"/>
      <c r="L125" s="93"/>
      <c r="M125" s="93"/>
      <c r="N125" s="93"/>
      <c r="O125" s="93"/>
      <c r="P125" s="93"/>
      <c r="Q125" s="93"/>
      <c r="R125" s="93"/>
    </row>
    <row r="126" spans="2:18" s="74" customFormat="1" ht="24.95" customHeight="1">
      <c r="B126" s="155"/>
      <c r="C126" s="92"/>
      <c r="D126" s="92"/>
      <c r="E126" s="152"/>
      <c r="F126" s="158"/>
      <c r="G126" s="157"/>
      <c r="H126" s="152"/>
      <c r="I126" s="152"/>
      <c r="J126" s="93"/>
      <c r="K126" s="93"/>
      <c r="L126" s="93"/>
      <c r="M126" s="93"/>
      <c r="N126" s="93"/>
      <c r="O126" s="93"/>
      <c r="P126" s="93"/>
      <c r="Q126" s="93"/>
      <c r="R126" s="93"/>
    </row>
    <row r="127" spans="2:18" s="74" customFormat="1" ht="24.95" customHeight="1">
      <c r="B127" s="155"/>
      <c r="C127" s="92"/>
      <c r="D127" s="92"/>
      <c r="E127" s="152"/>
      <c r="F127" s="158"/>
      <c r="G127" s="157"/>
      <c r="H127" s="152"/>
      <c r="I127" s="152"/>
      <c r="J127" s="93"/>
      <c r="K127" s="93"/>
      <c r="L127" s="93"/>
      <c r="M127" s="93"/>
      <c r="N127" s="93"/>
      <c r="O127" s="93"/>
      <c r="P127" s="93"/>
      <c r="Q127" s="93"/>
      <c r="R127" s="93"/>
    </row>
    <row r="128" spans="2:18" s="74" customFormat="1" ht="24.95" customHeight="1">
      <c r="B128" s="155"/>
      <c r="C128" s="92"/>
      <c r="D128" s="92"/>
      <c r="E128" s="152"/>
      <c r="F128" s="158"/>
      <c r="G128" s="157"/>
      <c r="H128" s="152"/>
      <c r="I128" s="152"/>
      <c r="J128" s="93"/>
      <c r="K128" s="93"/>
      <c r="L128" s="93"/>
      <c r="M128" s="93"/>
      <c r="N128" s="93"/>
      <c r="O128" s="93"/>
      <c r="P128" s="93"/>
      <c r="Q128" s="93"/>
      <c r="R128" s="93"/>
    </row>
    <row r="129" spans="2:18" s="74" customFormat="1" ht="24.95" customHeight="1">
      <c r="B129" s="155"/>
      <c r="C129" s="92"/>
      <c r="D129" s="92"/>
      <c r="E129" s="152"/>
      <c r="F129" s="158"/>
      <c r="G129" s="157"/>
      <c r="H129" s="152"/>
      <c r="I129" s="152"/>
      <c r="J129" s="93"/>
      <c r="K129" s="93"/>
      <c r="L129" s="93"/>
      <c r="M129" s="93"/>
      <c r="N129" s="93"/>
      <c r="O129" s="93"/>
      <c r="P129" s="93"/>
      <c r="Q129" s="93"/>
      <c r="R129" s="93"/>
    </row>
    <row r="130" spans="2:18" s="74" customFormat="1" ht="24.95" customHeight="1">
      <c r="B130" s="155"/>
      <c r="C130" s="92"/>
      <c r="D130" s="92"/>
      <c r="E130" s="152"/>
      <c r="F130" s="158"/>
      <c r="G130" s="157"/>
      <c r="H130" s="152"/>
      <c r="I130" s="152"/>
      <c r="J130" s="93"/>
      <c r="K130" s="93"/>
      <c r="L130" s="93"/>
      <c r="M130" s="93"/>
      <c r="N130" s="93"/>
      <c r="O130" s="93"/>
      <c r="P130" s="93"/>
      <c r="Q130" s="93"/>
      <c r="R130" s="93"/>
    </row>
    <row r="131" spans="2:18" s="74" customFormat="1" ht="24.95" customHeight="1">
      <c r="B131" s="155"/>
      <c r="C131" s="92"/>
      <c r="D131" s="92"/>
      <c r="E131" s="152"/>
      <c r="F131" s="158"/>
      <c r="G131" s="157"/>
      <c r="H131" s="152"/>
      <c r="I131" s="152"/>
      <c r="J131" s="93"/>
      <c r="K131" s="93"/>
      <c r="L131" s="93"/>
      <c r="M131" s="93"/>
      <c r="N131" s="93"/>
      <c r="O131" s="93"/>
      <c r="P131" s="93"/>
      <c r="Q131" s="93"/>
      <c r="R131" s="93"/>
    </row>
    <row r="132" spans="2:18" s="74" customFormat="1" ht="24.95" customHeight="1">
      <c r="B132" s="155"/>
      <c r="C132" s="92"/>
      <c r="D132" s="92"/>
      <c r="E132" s="152"/>
      <c r="F132" s="158"/>
      <c r="G132" s="157"/>
      <c r="H132" s="152"/>
      <c r="I132" s="152"/>
      <c r="J132" s="93"/>
      <c r="K132" s="93"/>
      <c r="L132" s="93"/>
      <c r="M132" s="93"/>
      <c r="N132" s="93"/>
      <c r="O132" s="93"/>
      <c r="P132" s="93"/>
      <c r="Q132" s="93"/>
      <c r="R132" s="93"/>
    </row>
    <row r="133" spans="2:18" s="74" customFormat="1" ht="24.95" customHeight="1">
      <c r="B133" s="159"/>
      <c r="C133" s="92"/>
      <c r="D133" s="92"/>
      <c r="E133" s="92"/>
      <c r="F133" s="158"/>
      <c r="G133" s="157"/>
      <c r="H133" s="152"/>
      <c r="I133" s="152"/>
      <c r="J133" s="93"/>
      <c r="K133" s="93"/>
      <c r="L133" s="93"/>
      <c r="M133" s="93"/>
      <c r="N133" s="93"/>
      <c r="O133" s="93"/>
      <c r="P133" s="93"/>
      <c r="Q133" s="93"/>
      <c r="R133" s="93"/>
    </row>
    <row r="134" spans="2:18" s="74" customFormat="1" ht="24.95" customHeight="1">
      <c r="B134" s="159"/>
      <c r="C134" s="92"/>
      <c r="D134" s="92"/>
      <c r="E134" s="92"/>
      <c r="F134" s="158"/>
      <c r="G134" s="157"/>
      <c r="H134" s="152"/>
      <c r="I134" s="152"/>
      <c r="J134" s="93"/>
      <c r="K134" s="93"/>
      <c r="L134" s="93"/>
      <c r="M134" s="93"/>
      <c r="N134" s="93"/>
      <c r="O134" s="93"/>
      <c r="P134" s="93"/>
      <c r="Q134" s="93"/>
      <c r="R134" s="93"/>
    </row>
    <row r="135" spans="2:18" s="74" customFormat="1" ht="24.95" customHeight="1">
      <c r="B135" s="159"/>
      <c r="C135" s="92"/>
      <c r="D135" s="92"/>
      <c r="E135" s="92"/>
      <c r="F135" s="158"/>
      <c r="G135" s="157"/>
      <c r="H135" s="152"/>
      <c r="I135" s="152"/>
      <c r="J135" s="93"/>
      <c r="K135" s="93"/>
      <c r="L135" s="93"/>
      <c r="M135" s="93"/>
      <c r="N135" s="93"/>
      <c r="O135" s="93"/>
      <c r="P135" s="93"/>
      <c r="Q135" s="93"/>
      <c r="R135" s="93"/>
    </row>
    <row r="136" spans="2:18" s="74" customFormat="1" ht="24.95" customHeight="1">
      <c r="B136" s="159"/>
      <c r="C136" s="92"/>
      <c r="D136" s="92"/>
      <c r="E136" s="92"/>
      <c r="F136" s="158"/>
      <c r="G136" s="157"/>
      <c r="H136" s="152"/>
      <c r="I136" s="152"/>
      <c r="J136" s="93"/>
      <c r="K136" s="93"/>
      <c r="L136" s="93"/>
      <c r="M136" s="93"/>
      <c r="N136" s="93"/>
      <c r="O136" s="93"/>
      <c r="P136" s="93"/>
      <c r="Q136" s="93"/>
      <c r="R136" s="93"/>
    </row>
    <row r="137" spans="2:18" s="74" customFormat="1" ht="24.95" customHeight="1">
      <c r="B137" s="159"/>
      <c r="C137" s="92"/>
      <c r="D137" s="92"/>
      <c r="E137" s="92"/>
      <c r="F137" s="158"/>
      <c r="G137" s="157"/>
      <c r="H137" s="152"/>
      <c r="I137" s="152"/>
      <c r="J137" s="93"/>
      <c r="K137" s="93"/>
      <c r="L137" s="93"/>
      <c r="M137" s="93"/>
      <c r="N137" s="93"/>
      <c r="O137" s="93"/>
      <c r="P137" s="93"/>
      <c r="Q137" s="93"/>
      <c r="R137" s="93"/>
    </row>
    <row r="138" spans="2:18" s="74" customFormat="1" ht="24.95" customHeight="1">
      <c r="B138" s="159"/>
      <c r="C138" s="92"/>
      <c r="D138" s="92"/>
      <c r="E138" s="92"/>
      <c r="F138" s="158"/>
      <c r="G138" s="157"/>
      <c r="H138" s="152"/>
      <c r="I138" s="152"/>
      <c r="J138" s="93"/>
      <c r="K138" s="93"/>
      <c r="L138" s="93"/>
      <c r="M138" s="93"/>
      <c r="N138" s="93"/>
      <c r="O138" s="93"/>
      <c r="P138" s="93"/>
      <c r="Q138" s="93"/>
      <c r="R138" s="93"/>
    </row>
    <row r="139" spans="2:18" s="74" customFormat="1" ht="24.95" customHeight="1">
      <c r="B139" s="159"/>
      <c r="C139" s="92"/>
      <c r="D139" s="92"/>
      <c r="E139" s="92"/>
      <c r="F139" s="158"/>
      <c r="G139" s="157"/>
      <c r="H139" s="152"/>
      <c r="I139" s="152"/>
      <c r="J139" s="93"/>
      <c r="K139" s="93"/>
      <c r="L139" s="93"/>
      <c r="M139" s="93"/>
      <c r="N139" s="93"/>
      <c r="O139" s="93"/>
      <c r="P139" s="93"/>
      <c r="Q139" s="93"/>
      <c r="R139" s="93"/>
    </row>
    <row r="140" spans="2:18" s="74" customFormat="1" ht="24.95" customHeight="1">
      <c r="B140" s="159"/>
      <c r="C140" s="92"/>
      <c r="D140" s="92"/>
      <c r="E140" s="92"/>
      <c r="F140" s="158"/>
      <c r="G140" s="157"/>
      <c r="H140" s="152"/>
      <c r="I140" s="152"/>
      <c r="J140" s="93"/>
      <c r="K140" s="93"/>
      <c r="L140" s="93"/>
      <c r="M140" s="93"/>
      <c r="N140" s="93"/>
      <c r="O140" s="93"/>
      <c r="P140" s="93"/>
      <c r="Q140" s="93"/>
      <c r="R140" s="93"/>
    </row>
    <row r="141" spans="2:18" s="74" customFormat="1" ht="24.95" customHeight="1">
      <c r="B141" s="159"/>
      <c r="C141" s="92"/>
      <c r="D141" s="92"/>
      <c r="E141" s="92"/>
      <c r="F141" s="158"/>
      <c r="G141" s="157"/>
      <c r="H141" s="152"/>
      <c r="I141" s="152"/>
      <c r="J141" s="93"/>
      <c r="K141" s="93"/>
      <c r="L141" s="93"/>
      <c r="M141" s="93"/>
      <c r="N141" s="93"/>
      <c r="O141" s="93"/>
      <c r="P141" s="93"/>
      <c r="Q141" s="93"/>
      <c r="R141" s="93"/>
    </row>
    <row r="142" spans="2:18" s="74" customFormat="1" ht="24.95" customHeight="1">
      <c r="B142" s="159"/>
      <c r="C142" s="92"/>
      <c r="D142" s="92"/>
      <c r="E142" s="92"/>
      <c r="F142" s="158"/>
      <c r="G142" s="157"/>
      <c r="H142" s="152"/>
      <c r="I142" s="152"/>
      <c r="J142" s="93"/>
      <c r="K142" s="93"/>
      <c r="L142" s="93"/>
      <c r="M142" s="93"/>
      <c r="N142" s="93"/>
      <c r="O142" s="93"/>
      <c r="P142" s="93"/>
      <c r="Q142" s="93"/>
      <c r="R142" s="93"/>
    </row>
    <row r="143" spans="2:18" s="74" customFormat="1" ht="24.95" customHeight="1">
      <c r="B143" s="159"/>
      <c r="C143" s="92"/>
      <c r="D143" s="92"/>
      <c r="E143" s="92"/>
      <c r="F143" s="158"/>
      <c r="G143" s="157"/>
      <c r="H143" s="152"/>
      <c r="I143" s="152"/>
      <c r="J143" s="93"/>
      <c r="K143" s="93"/>
      <c r="L143" s="93"/>
      <c r="M143" s="93"/>
      <c r="N143" s="93"/>
      <c r="O143" s="93"/>
      <c r="P143" s="93"/>
      <c r="Q143" s="93"/>
      <c r="R143" s="93"/>
    </row>
    <row r="144" spans="2:18" s="74" customFormat="1" ht="24.95" customHeight="1">
      <c r="B144" s="159"/>
      <c r="C144" s="92"/>
      <c r="D144" s="92"/>
      <c r="E144" s="92"/>
      <c r="F144" s="158"/>
      <c r="G144" s="157"/>
      <c r="H144" s="152"/>
      <c r="I144" s="152"/>
      <c r="J144" s="93"/>
      <c r="K144" s="93"/>
      <c r="L144" s="93"/>
      <c r="M144" s="93"/>
      <c r="N144" s="93"/>
      <c r="O144" s="93"/>
      <c r="P144" s="93"/>
      <c r="Q144" s="93"/>
      <c r="R144" s="93"/>
    </row>
    <row r="145" spans="2:18" s="74" customFormat="1" ht="24.95" customHeight="1">
      <c r="B145" s="159"/>
      <c r="C145" s="92"/>
      <c r="D145" s="92"/>
      <c r="E145" s="92"/>
      <c r="F145" s="158"/>
      <c r="G145" s="157"/>
      <c r="H145" s="152"/>
      <c r="I145" s="152"/>
      <c r="J145" s="93"/>
      <c r="K145" s="93"/>
      <c r="L145" s="93"/>
      <c r="M145" s="93"/>
      <c r="N145" s="93"/>
      <c r="O145" s="93"/>
      <c r="P145" s="93"/>
      <c r="Q145" s="93"/>
      <c r="R145" s="93"/>
    </row>
    <row r="146" spans="2:18" s="74" customFormat="1" ht="24.95" customHeight="1">
      <c r="B146" s="159"/>
      <c r="C146" s="92"/>
      <c r="D146" s="92"/>
      <c r="E146" s="92"/>
      <c r="F146" s="158"/>
      <c r="G146" s="157"/>
      <c r="H146" s="152"/>
      <c r="I146" s="152"/>
      <c r="J146" s="93"/>
      <c r="K146" s="93"/>
      <c r="L146" s="93"/>
      <c r="M146" s="93"/>
      <c r="N146" s="93"/>
      <c r="O146" s="93"/>
      <c r="P146" s="93"/>
      <c r="Q146" s="93"/>
      <c r="R146" s="93"/>
    </row>
    <row r="147" spans="2:18" s="74" customFormat="1" ht="24.95" customHeight="1">
      <c r="B147" s="159"/>
      <c r="C147" s="92"/>
      <c r="D147" s="92"/>
      <c r="E147" s="92"/>
      <c r="F147" s="158"/>
      <c r="G147" s="157"/>
      <c r="H147" s="152"/>
      <c r="I147" s="152"/>
      <c r="J147" s="93"/>
      <c r="K147" s="93"/>
      <c r="L147" s="93"/>
      <c r="M147" s="93"/>
      <c r="N147" s="93"/>
      <c r="O147" s="93"/>
      <c r="P147" s="93"/>
      <c r="Q147" s="93"/>
      <c r="R147" s="93"/>
    </row>
    <row r="148" spans="2:18" s="74" customFormat="1" ht="24.95" customHeight="1">
      <c r="B148" s="159"/>
      <c r="C148" s="92"/>
      <c r="D148" s="92"/>
      <c r="E148" s="92"/>
      <c r="F148" s="158"/>
      <c r="G148" s="157"/>
      <c r="H148" s="152"/>
      <c r="I148" s="152"/>
      <c r="J148" s="93"/>
      <c r="K148" s="93"/>
      <c r="L148" s="93"/>
      <c r="M148" s="93"/>
      <c r="N148" s="93"/>
      <c r="O148" s="93"/>
      <c r="P148" s="93"/>
      <c r="Q148" s="93"/>
      <c r="R148" s="93"/>
    </row>
    <row r="149" spans="2:18" s="74" customFormat="1" ht="24.95" customHeight="1">
      <c r="B149" s="159"/>
      <c r="C149" s="92"/>
      <c r="D149" s="92"/>
      <c r="E149" s="92"/>
      <c r="F149" s="158"/>
      <c r="G149" s="157"/>
      <c r="H149" s="152"/>
      <c r="I149" s="152"/>
      <c r="J149" s="93"/>
      <c r="K149" s="93"/>
      <c r="L149" s="93"/>
      <c r="M149" s="93"/>
      <c r="N149" s="93"/>
      <c r="O149" s="93"/>
      <c r="P149" s="93"/>
      <c r="Q149" s="93"/>
      <c r="R149" s="93"/>
    </row>
    <row r="150" spans="2:18" s="74" customFormat="1" ht="24.95" customHeight="1">
      <c r="B150" s="159"/>
      <c r="C150" s="92"/>
      <c r="D150" s="92"/>
      <c r="E150" s="92"/>
      <c r="F150" s="158"/>
      <c r="G150" s="157"/>
      <c r="H150" s="152"/>
      <c r="I150" s="152"/>
      <c r="J150" s="93"/>
      <c r="K150" s="93"/>
      <c r="L150" s="93"/>
      <c r="M150" s="93"/>
      <c r="N150" s="93"/>
      <c r="O150" s="93"/>
      <c r="P150" s="93"/>
      <c r="Q150" s="93"/>
      <c r="R150" s="93"/>
    </row>
  </sheetData>
  <mergeCells count="12">
    <mergeCell ref="B49:E49"/>
    <mergeCell ref="B50:E50"/>
    <mergeCell ref="B44:E44"/>
    <mergeCell ref="B45:E45"/>
    <mergeCell ref="B46:E46"/>
    <mergeCell ref="B47:E47"/>
    <mergeCell ref="B48:E48"/>
    <mergeCell ref="B36:E36"/>
    <mergeCell ref="B40:E40"/>
    <mergeCell ref="B41:E41"/>
    <mergeCell ref="B42:E42"/>
    <mergeCell ref="B43:E43"/>
  </mergeCells>
  <conditionalFormatting sqref="C3">
    <cfRule type="cellIs" dxfId="41" priority="4" stopIfTrue="1" operator="greaterThanOrEqual">
      <formula>85</formula>
    </cfRule>
    <cfRule type="cellIs" dxfId="40" priority="5" stopIfTrue="1" operator="lessThan">
      <formula>85</formula>
    </cfRule>
  </conditionalFormatting>
  <conditionalFormatting sqref="C37:E39">
    <cfRule type="cellIs" dxfId="39" priority="1" stopIfTrue="1" operator="equal">
      <formula>"לא בוצע"</formula>
    </cfRule>
    <cfRule type="cellIs" dxfId="38" priority="2" stopIfTrue="1" operator="equal">
      <formula>"בוצע"</formula>
    </cfRule>
    <cfRule type="cellIs" dxfId="37" priority="3" stopIfTrue="1" operator="equal">
      <formula>"לא רלוונטי"</formula>
    </cfRule>
  </conditionalFormatting>
  <dataValidations count="2">
    <dataValidation type="list" allowBlank="1" showInputMessage="1" showErrorMessage="1" sqref="C11:E13 C20:E23 C25:E30 C15:E18" xr:uid="{00000000-0002-0000-0100-000000000000}">
      <formula1>$G$3:$G$5</formula1>
    </dataValidation>
    <dataValidation type="list" allowBlank="1" showInputMessage="1" showErrorMessage="1" sqref="C37:E39" xr:uid="{00000000-0002-0000-0100-000001000000}">
      <formula1>$G$4:$G$6</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50"/>
  <sheetViews>
    <sheetView rightToLeft="1" zoomScale="64" zoomScaleNormal="64" workbookViewId="0">
      <selection activeCell="F15" sqref="F15"/>
    </sheetView>
  </sheetViews>
  <sheetFormatPr defaultColWidth="21.375" defaultRowHeight="24.95" customHeight="1"/>
  <cols>
    <col min="1" max="1" width="12.125" customWidth="1"/>
    <col min="2" max="2" width="84.375" style="159" customWidth="1"/>
    <col min="3" max="3" width="24.375" style="92" customWidth="1"/>
    <col min="4" max="4" width="32.375" style="92" bestFit="1" customWidth="1"/>
    <col min="5" max="5" width="26.375" style="92" bestFit="1" customWidth="1"/>
    <col min="6" max="6" width="21.375" style="158" customWidth="1"/>
    <col min="7" max="7" width="21.375" style="157" customWidth="1"/>
    <col min="8" max="9" width="21.375" style="152" customWidth="1"/>
    <col min="10" max="18" width="21.375" style="93" customWidth="1"/>
    <col min="19" max="22" width="21.375" style="74" customWidth="1"/>
  </cols>
  <sheetData>
    <row r="1" spans="2:30" ht="24.95" customHeight="1">
      <c r="B1" s="88" t="s">
        <v>86</v>
      </c>
      <c r="C1" s="89"/>
      <c r="D1" s="89"/>
      <c r="E1" s="89"/>
      <c r="F1" s="90"/>
      <c r="G1" s="91"/>
      <c r="H1" s="92"/>
      <c r="I1" s="92"/>
      <c r="R1" s="94"/>
      <c r="S1" s="95"/>
      <c r="T1"/>
      <c r="U1"/>
      <c r="V1"/>
    </row>
    <row r="2" spans="2:30" ht="24.95" customHeight="1">
      <c r="B2" s="96"/>
      <c r="C2" s="89"/>
      <c r="D2" s="89"/>
      <c r="E2" s="89"/>
      <c r="F2" s="89"/>
      <c r="G2" s="97"/>
      <c r="H2" s="97" t="s">
        <v>87</v>
      </c>
      <c r="I2" s="97"/>
      <c r="J2" s="98"/>
      <c r="R2" s="94"/>
      <c r="S2" s="95"/>
      <c r="T2"/>
      <c r="U2"/>
      <c r="V2"/>
    </row>
    <row r="3" spans="2:30" ht="24.95" customHeight="1">
      <c r="B3" s="99" t="s">
        <v>0</v>
      </c>
      <c r="C3" s="100">
        <f>AVERAGE(C9:E9)</f>
        <v>95.000000000000014</v>
      </c>
      <c r="D3" s="101" t="s">
        <v>1</v>
      </c>
      <c r="E3" s="102" t="s">
        <v>2</v>
      </c>
      <c r="F3" s="102"/>
      <c r="G3" s="97" t="s">
        <v>3</v>
      </c>
      <c r="H3" s="103">
        <f>COUNTIF($C$11:$E$28,"בוצע")+SUM(G10:G17)</f>
        <v>45</v>
      </c>
      <c r="I3" s="97" t="s">
        <v>88</v>
      </c>
      <c r="J3" s="98"/>
      <c r="R3" s="94"/>
      <c r="S3" s="95"/>
      <c r="T3"/>
      <c r="U3"/>
      <c r="V3"/>
    </row>
    <row r="4" spans="2:30" ht="24.95" customHeight="1">
      <c r="B4" s="99"/>
      <c r="C4" s="100"/>
      <c r="D4" s="161" t="s">
        <v>129</v>
      </c>
      <c r="E4" s="161" t="s">
        <v>127</v>
      </c>
      <c r="F4" s="160"/>
      <c r="G4" s="97" t="s">
        <v>4</v>
      </c>
      <c r="H4" s="103">
        <f>COUNTIF($C$11:$E$28,"לא בוצע")+SUM(G10:G17)</f>
        <v>0</v>
      </c>
      <c r="I4" s="97" t="s">
        <v>89</v>
      </c>
      <c r="J4" s="98"/>
      <c r="R4" s="94"/>
      <c r="S4" s="95"/>
      <c r="T4"/>
      <c r="U4"/>
      <c r="V4"/>
    </row>
    <row r="5" spans="2:30" ht="24.95" customHeight="1">
      <c r="B5" s="102" t="s">
        <v>90</v>
      </c>
      <c r="C5" s="102"/>
      <c r="D5" s="102"/>
      <c r="E5" s="102"/>
      <c r="F5" s="104" t="s">
        <v>6</v>
      </c>
      <c r="G5" s="97" t="s">
        <v>7</v>
      </c>
      <c r="H5" s="103">
        <f>COUNTIF($C$11:$E$28,"לא רלוונטי")+SUM(O12:O28)</f>
        <v>0.85000000000000031</v>
      </c>
      <c r="I5" s="97"/>
      <c r="J5" s="98"/>
      <c r="R5" s="94"/>
      <c r="S5" s="95"/>
      <c r="T5"/>
      <c r="U5"/>
      <c r="V5"/>
    </row>
    <row r="6" spans="2:30" ht="24.95" customHeight="1">
      <c r="B6" s="160" t="s">
        <v>8</v>
      </c>
      <c r="C6" s="160">
        <v>48411893</v>
      </c>
      <c r="D6" s="160">
        <v>507564565</v>
      </c>
      <c r="E6" s="160"/>
      <c r="F6" s="105"/>
      <c r="G6" s="91"/>
      <c r="H6" s="92"/>
      <c r="I6" s="106"/>
      <c r="J6" s="98"/>
      <c r="R6" s="94"/>
      <c r="S6" s="95"/>
      <c r="T6"/>
      <c r="U6"/>
      <c r="V6"/>
    </row>
    <row r="7" spans="2:30" ht="24.95" customHeight="1">
      <c r="B7" s="160" t="s">
        <v>9</v>
      </c>
      <c r="C7" s="160"/>
      <c r="D7" s="160"/>
      <c r="E7" s="160"/>
      <c r="F7" s="105"/>
      <c r="G7" s="91"/>
      <c r="H7" s="92"/>
      <c r="I7" s="106"/>
      <c r="J7" s="98"/>
      <c r="R7" s="94"/>
      <c r="S7" s="95"/>
      <c r="T7"/>
      <c r="U7"/>
      <c r="V7"/>
    </row>
    <row r="8" spans="2:30" ht="24.95" customHeight="1">
      <c r="B8" s="160" t="s">
        <v>10</v>
      </c>
      <c r="C8" s="160"/>
      <c r="D8" s="160"/>
      <c r="E8" s="160"/>
      <c r="F8" s="108">
        <f>SUM(F11:F28)</f>
        <v>0.90000000000000036</v>
      </c>
      <c r="G8" s="109"/>
      <c r="H8" s="110"/>
      <c r="I8" s="110"/>
      <c r="J8" s="111"/>
      <c r="L8" s="112" t="s">
        <v>7</v>
      </c>
      <c r="M8" s="112" t="s">
        <v>3</v>
      </c>
      <c r="N8" s="112" t="s">
        <v>7</v>
      </c>
      <c r="O8" s="112" t="s">
        <v>3</v>
      </c>
      <c r="P8" s="112" t="s">
        <v>7</v>
      </c>
      <c r="Q8" s="112" t="s">
        <v>3</v>
      </c>
      <c r="R8" s="94"/>
      <c r="S8" s="95"/>
      <c r="T8"/>
      <c r="U8"/>
      <c r="V8"/>
    </row>
    <row r="9" spans="2:30" s="113" customFormat="1" ht="24.95" customHeight="1">
      <c r="B9" s="160" t="s">
        <v>11</v>
      </c>
      <c r="C9" s="160">
        <f>M31</f>
        <v>95.000000000000043</v>
      </c>
      <c r="D9" s="160">
        <f>O31</f>
        <v>90.000000000000028</v>
      </c>
      <c r="E9" s="160">
        <f>Q31</f>
        <v>100</v>
      </c>
      <c r="F9" s="114"/>
      <c r="G9" s="115"/>
      <c r="H9" s="115"/>
      <c r="I9" s="116"/>
      <c r="J9" s="117"/>
      <c r="K9" s="118"/>
      <c r="L9" s="119"/>
      <c r="M9" s="119"/>
      <c r="N9" s="119"/>
      <c r="O9" s="119"/>
      <c r="P9" s="119"/>
      <c r="Q9" s="120"/>
      <c r="R9" s="94"/>
      <c r="S9" s="95"/>
      <c r="T9"/>
      <c r="U9"/>
      <c r="V9"/>
      <c r="W9"/>
      <c r="X9"/>
      <c r="Y9"/>
      <c r="Z9"/>
      <c r="AA9"/>
      <c r="AB9"/>
      <c r="AC9"/>
      <c r="AD9"/>
    </row>
    <row r="10" spans="2:30" ht="24.95" customHeight="1">
      <c r="B10" s="121" t="s">
        <v>91</v>
      </c>
      <c r="C10" s="121"/>
      <c r="D10" s="121"/>
      <c r="E10" s="121"/>
      <c r="F10" s="122"/>
      <c r="G10" s="123"/>
      <c r="H10" s="123"/>
      <c r="I10" s="123"/>
      <c r="L10" s="124">
        <f>SUM(L11:L30)</f>
        <v>0.05</v>
      </c>
      <c r="M10" s="124">
        <f>SUM(M11:M30)</f>
        <v>0.9500000000000004</v>
      </c>
      <c r="N10" s="124">
        <f>SUM(N11:N30)</f>
        <v>0</v>
      </c>
      <c r="O10" s="124">
        <f>SUM(O11:O30)</f>
        <v>0.90000000000000036</v>
      </c>
      <c r="P10" s="124">
        <f>SUM(P11:P30)</f>
        <v>0.05</v>
      </c>
      <c r="Q10" s="124">
        <v>1</v>
      </c>
      <c r="R10" s="125"/>
      <c r="S10" s="126"/>
      <c r="T10"/>
      <c r="U10"/>
      <c r="V10"/>
    </row>
    <row r="11" spans="2:30" ht="24.95" customHeight="1">
      <c r="B11" s="160" t="s">
        <v>92</v>
      </c>
      <c r="C11" s="160" t="s">
        <v>3</v>
      </c>
      <c r="D11" s="160" t="s">
        <v>3</v>
      </c>
      <c r="E11" s="160" t="s">
        <v>3</v>
      </c>
      <c r="F11" s="127">
        <v>0.05</v>
      </c>
      <c r="G11" s="123"/>
      <c r="H11" s="123"/>
      <c r="I11" s="128">
        <f>F11</f>
        <v>0.05</v>
      </c>
      <c r="L11" s="129">
        <f>IF((C11=$G$5)+OR(C11=""),$I11,0)</f>
        <v>0</v>
      </c>
      <c r="M11" s="124">
        <f>IF(C11=$G$3,$I11,0)</f>
        <v>0.05</v>
      </c>
      <c r="N11" s="129">
        <f t="shared" ref="N11:N18" si="0">IF((D11=$G$5)+OR(D11=""),$I11,0)</f>
        <v>0</v>
      </c>
      <c r="O11" s="124">
        <f t="shared" ref="O11:O18" si="1">IF(D11=$G$3,$I11,0)</f>
        <v>0.05</v>
      </c>
      <c r="P11" s="129">
        <f>IF((E11=$G$5)+OR(E11=""),$I11,0)</f>
        <v>0</v>
      </c>
      <c r="Q11" s="124">
        <f>IF(E11=$G$3,$I11,0)</f>
        <v>0.05</v>
      </c>
      <c r="R11" s="125"/>
      <c r="S11" s="126"/>
      <c r="T11"/>
      <c r="U11"/>
      <c r="V11"/>
    </row>
    <row r="12" spans="2:30" ht="24.95" customHeight="1">
      <c r="B12" s="160" t="s">
        <v>93</v>
      </c>
      <c r="C12" s="160" t="s">
        <v>3</v>
      </c>
      <c r="D12" s="160" t="s">
        <v>3</v>
      </c>
      <c r="E12" s="160" t="s">
        <v>3</v>
      </c>
      <c r="F12" s="127">
        <v>0.05</v>
      </c>
      <c r="G12" s="123"/>
      <c r="H12" s="123"/>
      <c r="I12" s="128">
        <f>F12</f>
        <v>0.05</v>
      </c>
      <c r="L12" s="129">
        <f t="shared" ref="L12:L30" si="2">IF((C12=$G$5)+OR(C12=""),$I12,0)</f>
        <v>0</v>
      </c>
      <c r="M12" s="124">
        <f t="shared" ref="M12:M18" si="3">IF(C12=$G$3,$I12,0)</f>
        <v>0.05</v>
      </c>
      <c r="N12" s="129">
        <f t="shared" si="0"/>
        <v>0</v>
      </c>
      <c r="O12" s="124">
        <f t="shared" si="1"/>
        <v>0.05</v>
      </c>
      <c r="P12" s="129">
        <f t="shared" ref="P12:P23" si="4">IF((E12=$G$5)+OR(E12=""),$I12,0)</f>
        <v>0</v>
      </c>
      <c r="Q12" s="124">
        <f t="shared" ref="Q12:Q23" si="5">IF(E12=$G$3,$I12,0)</f>
        <v>0.05</v>
      </c>
      <c r="R12" s="125"/>
      <c r="S12" s="126"/>
      <c r="T12"/>
      <c r="U12"/>
      <c r="V12"/>
    </row>
    <row r="13" spans="2:30" ht="24.95" customHeight="1">
      <c r="B13" s="160" t="s">
        <v>94</v>
      </c>
      <c r="C13" s="160" t="s">
        <v>3</v>
      </c>
      <c r="D13" s="160" t="s">
        <v>3</v>
      </c>
      <c r="E13" s="160" t="s">
        <v>3</v>
      </c>
      <c r="F13" s="107">
        <v>0.06</v>
      </c>
      <c r="G13" s="123"/>
      <c r="H13" s="123"/>
      <c r="I13" s="128">
        <f>F13</f>
        <v>0.06</v>
      </c>
      <c r="L13" s="129">
        <f t="shared" si="2"/>
        <v>0</v>
      </c>
      <c r="M13" s="124">
        <f>IF(C13=$G$3,$I13,0)</f>
        <v>0.06</v>
      </c>
      <c r="N13" s="129">
        <f>IF((D13=$G$5)+OR(D13=""),$I13,0)</f>
        <v>0</v>
      </c>
      <c r="O13" s="124">
        <f>IF(D13=$G$3,$I13,0)</f>
        <v>0.06</v>
      </c>
      <c r="P13" s="129">
        <f>IF((E13=$G$5)+OR(E13=""),$I13,0)</f>
        <v>0</v>
      </c>
      <c r="Q13" s="124">
        <f>IF(E13=$G$3,$I13,0)</f>
        <v>0.06</v>
      </c>
      <c r="R13" s="125"/>
      <c r="S13" s="126"/>
      <c r="T13"/>
      <c r="U13"/>
      <c r="V13"/>
    </row>
    <row r="14" spans="2:30" ht="24.95" customHeight="1">
      <c r="B14" s="130" t="s">
        <v>95</v>
      </c>
      <c r="C14" s="121"/>
      <c r="D14" s="121"/>
      <c r="E14" s="121"/>
      <c r="F14" s="101"/>
      <c r="G14" s="123"/>
      <c r="H14" s="123"/>
      <c r="I14" s="128">
        <f t="shared" ref="I14:I30" si="6">F14</f>
        <v>0</v>
      </c>
      <c r="L14" s="129">
        <f>IF((C14=$G$5)+OR(C14=""),$I14,0)</f>
        <v>0</v>
      </c>
      <c r="M14" s="124">
        <f t="shared" si="3"/>
        <v>0</v>
      </c>
      <c r="N14" s="129">
        <f t="shared" si="0"/>
        <v>0</v>
      </c>
      <c r="O14" s="124">
        <f t="shared" si="1"/>
        <v>0</v>
      </c>
      <c r="P14" s="129">
        <f t="shared" si="4"/>
        <v>0</v>
      </c>
      <c r="Q14" s="124">
        <f t="shared" si="5"/>
        <v>0</v>
      </c>
      <c r="R14" s="125"/>
      <c r="S14" s="126"/>
      <c r="T14"/>
      <c r="U14"/>
      <c r="V14"/>
    </row>
    <row r="15" spans="2:30" ht="24.95" customHeight="1">
      <c r="B15" s="160" t="s">
        <v>96</v>
      </c>
      <c r="C15" s="160" t="s">
        <v>3</v>
      </c>
      <c r="D15" s="160" t="s">
        <v>3</v>
      </c>
      <c r="E15" s="160" t="s">
        <v>3</v>
      </c>
      <c r="F15" s="103">
        <v>0.05</v>
      </c>
      <c r="G15" s="123"/>
      <c r="H15" s="131"/>
      <c r="I15" s="128">
        <f>F15</f>
        <v>0.05</v>
      </c>
      <c r="L15" s="129">
        <f t="shared" si="2"/>
        <v>0</v>
      </c>
      <c r="M15" s="124">
        <f t="shared" si="3"/>
        <v>0.05</v>
      </c>
      <c r="N15" s="129">
        <f t="shared" si="0"/>
        <v>0</v>
      </c>
      <c r="O15" s="124">
        <f t="shared" si="1"/>
        <v>0.05</v>
      </c>
      <c r="P15" s="129">
        <f t="shared" si="4"/>
        <v>0</v>
      </c>
      <c r="Q15" s="124">
        <f t="shared" si="5"/>
        <v>0.05</v>
      </c>
      <c r="R15" s="125"/>
      <c r="S15" s="126"/>
      <c r="T15"/>
      <c r="U15"/>
      <c r="V15"/>
    </row>
    <row r="16" spans="2:30" ht="24.95" customHeight="1">
      <c r="B16" s="160" t="s">
        <v>97</v>
      </c>
      <c r="C16" s="160" t="s">
        <v>3</v>
      </c>
      <c r="D16" s="160" t="s">
        <v>3</v>
      </c>
      <c r="E16" s="160" t="s">
        <v>3</v>
      </c>
      <c r="F16" s="127">
        <v>0.05</v>
      </c>
      <c r="G16" s="123"/>
      <c r="H16" s="131"/>
      <c r="I16" s="128">
        <f t="shared" si="6"/>
        <v>0.05</v>
      </c>
      <c r="L16" s="129">
        <f t="shared" si="2"/>
        <v>0</v>
      </c>
      <c r="M16" s="124">
        <f t="shared" si="3"/>
        <v>0.05</v>
      </c>
      <c r="N16" s="129">
        <f t="shared" si="0"/>
        <v>0</v>
      </c>
      <c r="O16" s="124">
        <f t="shared" si="1"/>
        <v>0.05</v>
      </c>
      <c r="P16" s="129">
        <f t="shared" si="4"/>
        <v>0</v>
      </c>
      <c r="Q16" s="124">
        <f t="shared" si="5"/>
        <v>0.05</v>
      </c>
      <c r="R16" s="125"/>
      <c r="S16" s="126"/>
      <c r="T16"/>
      <c r="U16"/>
      <c r="V16"/>
    </row>
    <row r="17" spans="1:22" s="74" customFormat="1" ht="24.95" customHeight="1">
      <c r="B17" s="160" t="s">
        <v>98</v>
      </c>
      <c r="C17" s="160" t="s">
        <v>3</v>
      </c>
      <c r="D17" s="160" t="s">
        <v>3</v>
      </c>
      <c r="E17" s="160" t="s">
        <v>3</v>
      </c>
      <c r="F17" s="132">
        <v>7.0000000000000007E-2</v>
      </c>
      <c r="G17" s="123"/>
      <c r="H17" s="123"/>
      <c r="I17" s="128">
        <f t="shared" si="6"/>
        <v>7.0000000000000007E-2</v>
      </c>
      <c r="J17" s="93"/>
      <c r="K17" s="93"/>
      <c r="L17" s="129">
        <f t="shared" si="2"/>
        <v>0</v>
      </c>
      <c r="M17" s="124">
        <f t="shared" si="3"/>
        <v>7.0000000000000007E-2</v>
      </c>
      <c r="N17" s="129">
        <f t="shared" si="0"/>
        <v>0</v>
      </c>
      <c r="O17" s="124">
        <f t="shared" si="1"/>
        <v>7.0000000000000007E-2</v>
      </c>
      <c r="P17" s="129">
        <f t="shared" si="4"/>
        <v>0</v>
      </c>
      <c r="Q17" s="124">
        <f t="shared" si="5"/>
        <v>7.0000000000000007E-2</v>
      </c>
      <c r="R17" s="125"/>
      <c r="S17" s="126"/>
    </row>
    <row r="18" spans="1:22" ht="36.6" customHeight="1">
      <c r="B18" s="160" t="s">
        <v>99</v>
      </c>
      <c r="C18" s="160" t="s">
        <v>3</v>
      </c>
      <c r="D18" s="160" t="s">
        <v>3</v>
      </c>
      <c r="E18" s="160" t="s">
        <v>3</v>
      </c>
      <c r="F18" s="103">
        <v>7.0000000000000007E-2</v>
      </c>
      <c r="G18" s="123"/>
      <c r="H18" s="123"/>
      <c r="I18" s="128">
        <f t="shared" si="6"/>
        <v>7.0000000000000007E-2</v>
      </c>
      <c r="L18" s="129">
        <f t="shared" si="2"/>
        <v>0</v>
      </c>
      <c r="M18" s="124">
        <f t="shared" si="3"/>
        <v>7.0000000000000007E-2</v>
      </c>
      <c r="N18" s="129">
        <f t="shared" si="0"/>
        <v>0</v>
      </c>
      <c r="O18" s="124">
        <f t="shared" si="1"/>
        <v>7.0000000000000007E-2</v>
      </c>
      <c r="P18" s="129">
        <f t="shared" si="4"/>
        <v>0</v>
      </c>
      <c r="Q18" s="124">
        <f t="shared" si="5"/>
        <v>7.0000000000000007E-2</v>
      </c>
      <c r="R18" s="125"/>
      <c r="S18" s="126"/>
      <c r="T18"/>
      <c r="U18"/>
      <c r="V18"/>
    </row>
    <row r="19" spans="1:22" ht="24.95" customHeight="1">
      <c r="A19" t="s">
        <v>100</v>
      </c>
      <c r="B19" s="133" t="s">
        <v>101</v>
      </c>
      <c r="C19" s="102"/>
      <c r="D19" s="102"/>
      <c r="E19" s="102"/>
      <c r="F19" s="134"/>
      <c r="G19" s="135"/>
      <c r="H19" s="136"/>
      <c r="I19" s="128">
        <f t="shared" si="6"/>
        <v>0</v>
      </c>
      <c r="L19" s="129">
        <f t="shared" si="2"/>
        <v>0</v>
      </c>
      <c r="M19" s="98"/>
      <c r="O19" s="98"/>
      <c r="Q19" s="98"/>
      <c r="R19" s="125"/>
      <c r="S19" s="126"/>
      <c r="T19"/>
      <c r="U19"/>
      <c r="V19"/>
    </row>
    <row r="20" spans="1:22" ht="24.95" customHeight="1">
      <c r="B20" s="160" t="s">
        <v>102</v>
      </c>
      <c r="C20" s="160" t="s">
        <v>3</v>
      </c>
      <c r="D20" s="160" t="s">
        <v>3</v>
      </c>
      <c r="E20" s="160" t="s">
        <v>3</v>
      </c>
      <c r="F20" s="127">
        <v>0.06</v>
      </c>
      <c r="G20" s="135"/>
      <c r="H20" s="136"/>
      <c r="I20" s="128">
        <f t="shared" si="6"/>
        <v>0.06</v>
      </c>
      <c r="L20" s="129">
        <f t="shared" si="2"/>
        <v>0</v>
      </c>
      <c r="M20" s="124">
        <f>IF(C20=$G$3,$I20,0)</f>
        <v>0.06</v>
      </c>
      <c r="N20" s="129">
        <f>IF((D20=$G$5)+OR(D20=""),$I20,0)</f>
        <v>0</v>
      </c>
      <c r="O20" s="124">
        <f>IF(D20=$G$3,$I20,0)</f>
        <v>0.06</v>
      </c>
      <c r="P20" s="129">
        <f t="shared" si="4"/>
        <v>0</v>
      </c>
      <c r="Q20" s="124">
        <f t="shared" si="5"/>
        <v>0.06</v>
      </c>
      <c r="R20" s="125"/>
      <c r="S20" s="126"/>
      <c r="T20"/>
      <c r="U20"/>
      <c r="V20"/>
    </row>
    <row r="21" spans="1:22" ht="30.6" customHeight="1">
      <c r="B21" s="160" t="s">
        <v>37</v>
      </c>
      <c r="C21" s="160" t="s">
        <v>3</v>
      </c>
      <c r="D21" s="160" t="s">
        <v>3</v>
      </c>
      <c r="E21" s="160" t="s">
        <v>3</v>
      </c>
      <c r="F21" s="127">
        <v>7.0000000000000007E-2</v>
      </c>
      <c r="G21" s="135"/>
      <c r="H21" s="136"/>
      <c r="I21" s="128">
        <f t="shared" si="6"/>
        <v>7.0000000000000007E-2</v>
      </c>
      <c r="L21" s="129">
        <f t="shared" si="2"/>
        <v>0</v>
      </c>
      <c r="M21" s="124">
        <f>IF(C21=$G$3,$I21,0)</f>
        <v>7.0000000000000007E-2</v>
      </c>
      <c r="N21" s="129">
        <f>IF((D21=$G$5)+OR(D21=""),$I21,0)</f>
        <v>0</v>
      </c>
      <c r="O21" s="124">
        <f>IF(D21=$G$3,$I21,0)</f>
        <v>7.0000000000000007E-2</v>
      </c>
      <c r="P21" s="129">
        <f t="shared" si="4"/>
        <v>0</v>
      </c>
      <c r="Q21" s="124">
        <f t="shared" si="5"/>
        <v>7.0000000000000007E-2</v>
      </c>
      <c r="R21" s="125"/>
      <c r="S21" s="126"/>
      <c r="T21"/>
      <c r="U21"/>
      <c r="V21"/>
    </row>
    <row r="22" spans="1:22" ht="33" customHeight="1">
      <c r="B22" s="160" t="s">
        <v>103</v>
      </c>
      <c r="C22" s="160" t="s">
        <v>3</v>
      </c>
      <c r="D22" s="160" t="s">
        <v>3</v>
      </c>
      <c r="E22" s="160" t="s">
        <v>3</v>
      </c>
      <c r="F22" s="107">
        <v>7.0000000000000007E-2</v>
      </c>
      <c r="G22" s="135"/>
      <c r="H22" s="136"/>
      <c r="I22" s="128">
        <f t="shared" si="6"/>
        <v>7.0000000000000007E-2</v>
      </c>
      <c r="L22" s="129">
        <f t="shared" si="2"/>
        <v>0</v>
      </c>
      <c r="M22" s="124">
        <f>IF(C22=$G$3,$I22,0)</f>
        <v>7.0000000000000007E-2</v>
      </c>
      <c r="N22" s="129">
        <f>IF((D22=$G$5)+OR(D22=""),$I22,0)</f>
        <v>0</v>
      </c>
      <c r="O22" s="124">
        <f>IF(D22=$G$3,$I22,0)</f>
        <v>7.0000000000000007E-2</v>
      </c>
      <c r="P22" s="129">
        <f t="shared" si="4"/>
        <v>0</v>
      </c>
      <c r="Q22" s="124">
        <f t="shared" si="5"/>
        <v>7.0000000000000007E-2</v>
      </c>
      <c r="R22" s="125"/>
      <c r="S22" s="126"/>
      <c r="T22"/>
      <c r="U22"/>
      <c r="V22"/>
    </row>
    <row r="23" spans="1:22" ht="24.95" customHeight="1">
      <c r="B23" s="160"/>
      <c r="C23" s="160" t="s">
        <v>3</v>
      </c>
      <c r="D23" s="160" t="s">
        <v>3</v>
      </c>
      <c r="E23" s="160" t="s">
        <v>3</v>
      </c>
      <c r="F23" s="127">
        <v>7.0000000000000007E-2</v>
      </c>
      <c r="G23" s="135"/>
      <c r="H23" s="136"/>
      <c r="I23" s="128">
        <f t="shared" si="6"/>
        <v>7.0000000000000007E-2</v>
      </c>
      <c r="L23" s="129">
        <f t="shared" si="2"/>
        <v>0</v>
      </c>
      <c r="M23" s="124">
        <f>IF(C23=$G$3,$I23,0)</f>
        <v>7.0000000000000007E-2</v>
      </c>
      <c r="N23" s="129">
        <f>IF((D23=$G$5)+OR(D23=""),$I23,0)</f>
        <v>0</v>
      </c>
      <c r="O23" s="124">
        <f>IF(D23=$G$3,$I23,0)</f>
        <v>7.0000000000000007E-2</v>
      </c>
      <c r="P23" s="129">
        <f t="shared" si="4"/>
        <v>0</v>
      </c>
      <c r="Q23" s="124">
        <f t="shared" si="5"/>
        <v>7.0000000000000007E-2</v>
      </c>
      <c r="R23" s="125"/>
      <c r="S23" s="126"/>
      <c r="T23"/>
      <c r="U23"/>
      <c r="V23"/>
    </row>
    <row r="24" spans="1:22" ht="24.95" customHeight="1">
      <c r="A24" t="s">
        <v>104</v>
      </c>
      <c r="B24" s="133" t="s">
        <v>13</v>
      </c>
      <c r="C24" s="102"/>
      <c r="D24" s="102"/>
      <c r="E24" s="102"/>
      <c r="F24" s="101"/>
      <c r="G24" s="137"/>
      <c r="H24" s="123"/>
      <c r="I24" s="128">
        <f t="shared" si="6"/>
        <v>0</v>
      </c>
      <c r="L24" s="129">
        <f t="shared" si="2"/>
        <v>0</v>
      </c>
      <c r="M24" s="98"/>
      <c r="O24" s="98"/>
      <c r="Q24" s="98"/>
      <c r="R24" s="125"/>
      <c r="S24" s="126"/>
      <c r="T24"/>
      <c r="U24"/>
      <c r="V24"/>
    </row>
    <row r="25" spans="1:22" ht="24.95" customHeight="1">
      <c r="B25" s="160" t="s">
        <v>105</v>
      </c>
      <c r="C25" s="160" t="s">
        <v>3</v>
      </c>
      <c r="D25" s="160" t="s">
        <v>3</v>
      </c>
      <c r="E25" s="160" t="s">
        <v>3</v>
      </c>
      <c r="F25" s="103">
        <v>0.06</v>
      </c>
      <c r="G25" s="106"/>
      <c r="H25" s="106"/>
      <c r="I25" s="138">
        <f t="shared" si="6"/>
        <v>0.06</v>
      </c>
      <c r="J25" s="139"/>
      <c r="K25" s="139"/>
      <c r="L25" s="140">
        <f t="shared" si="2"/>
        <v>0</v>
      </c>
      <c r="M25" s="141">
        <f>IF(C25=$G$3,$I25,0)</f>
        <v>0.06</v>
      </c>
      <c r="N25" s="140">
        <f>IF((D25=$G$5)+OR(D25=""),$I25,0)</f>
        <v>0</v>
      </c>
      <c r="O25" s="141">
        <f>IF(D25=$G$3,$I25,0)</f>
        <v>0.06</v>
      </c>
      <c r="P25" s="140">
        <f>IF((E25=$G$5)+OR(E25=""),$I25,0)</f>
        <v>0</v>
      </c>
      <c r="Q25" s="141">
        <f>IF(E25=$G$3,$I25,0)</f>
        <v>0.06</v>
      </c>
      <c r="R25" s="94"/>
      <c r="S25" s="95"/>
      <c r="T25"/>
      <c r="U25"/>
      <c r="V25"/>
    </row>
    <row r="26" spans="1:22" ht="24.95" customHeight="1">
      <c r="B26" s="160" t="s">
        <v>106</v>
      </c>
      <c r="C26" s="160" t="s">
        <v>3</v>
      </c>
      <c r="D26" s="160" t="s">
        <v>3</v>
      </c>
      <c r="E26" s="160" t="s">
        <v>3</v>
      </c>
      <c r="F26" s="107">
        <v>0.06</v>
      </c>
      <c r="G26" s="106"/>
      <c r="H26" s="106"/>
      <c r="I26" s="138">
        <f t="shared" si="6"/>
        <v>0.06</v>
      </c>
      <c r="J26" s="139"/>
      <c r="K26" s="139"/>
      <c r="L26" s="140">
        <f t="shared" si="2"/>
        <v>0</v>
      </c>
      <c r="M26" s="141">
        <f>IF(C26=$G$3,$I26,0)</f>
        <v>0.06</v>
      </c>
      <c r="N26" s="140">
        <f>IF((D26=$G$5)+OR(D26=""),$I26,0)</f>
        <v>0</v>
      </c>
      <c r="O26" s="141">
        <f>IF(D26=$G$3,$I26,0)</f>
        <v>0.06</v>
      </c>
      <c r="P26" s="140">
        <f>IF((E26=$G$5)+OR(E26=""),$I26,0)</f>
        <v>0</v>
      </c>
      <c r="Q26" s="141">
        <f>IF(E26=$G$3,$I26,0)</f>
        <v>0.06</v>
      </c>
      <c r="R26" s="94"/>
      <c r="S26" s="95"/>
      <c r="T26"/>
      <c r="U26"/>
      <c r="V26"/>
    </row>
    <row r="27" spans="1:22" ht="24.95" customHeight="1">
      <c r="B27" s="160" t="s">
        <v>107</v>
      </c>
      <c r="C27" s="160" t="s">
        <v>3</v>
      </c>
      <c r="D27" s="160" t="s">
        <v>3</v>
      </c>
      <c r="E27" s="160" t="s">
        <v>3</v>
      </c>
      <c r="F27" s="107">
        <v>0.06</v>
      </c>
      <c r="G27" s="106"/>
      <c r="H27" s="106"/>
      <c r="I27" s="138">
        <f t="shared" si="6"/>
        <v>0.06</v>
      </c>
      <c r="J27" s="139"/>
      <c r="K27" s="139"/>
      <c r="L27" s="140">
        <f t="shared" si="2"/>
        <v>0</v>
      </c>
      <c r="M27" s="141">
        <f>IF(C27=$G$3,$I27,0)</f>
        <v>0.06</v>
      </c>
      <c r="N27" s="140">
        <f>IF((D27=$G$5)+OR(D27=""),$I27,0)</f>
        <v>0</v>
      </c>
      <c r="O27" s="141">
        <f>IF(D27=$G$3,$I27,0)</f>
        <v>0.06</v>
      </c>
      <c r="P27" s="140">
        <f>IF((E27=$G$5)+OR(E27=""),$I27,0)</f>
        <v>0</v>
      </c>
      <c r="Q27" s="141">
        <f>IF(E27=$G$3,$I27,0)</f>
        <v>0.06</v>
      </c>
      <c r="R27" s="139"/>
      <c r="S27" s="95"/>
      <c r="T27"/>
      <c r="U27"/>
      <c r="V27"/>
    </row>
    <row r="28" spans="1:22" ht="24.95" customHeight="1">
      <c r="B28" s="160" t="s">
        <v>108</v>
      </c>
      <c r="C28" s="160" t="s">
        <v>3</v>
      </c>
      <c r="D28" s="160" t="s">
        <v>3</v>
      </c>
      <c r="E28" s="160" t="s">
        <v>3</v>
      </c>
      <c r="F28" s="107">
        <v>0.05</v>
      </c>
      <c r="G28" s="106"/>
      <c r="H28" s="106"/>
      <c r="I28" s="138">
        <f t="shared" si="6"/>
        <v>0.05</v>
      </c>
      <c r="J28" s="139"/>
      <c r="K28" s="139"/>
      <c r="L28" s="140">
        <f t="shared" si="2"/>
        <v>0</v>
      </c>
      <c r="M28" s="141">
        <f>IF(C28=$G$3,$I28,0)</f>
        <v>0.05</v>
      </c>
      <c r="N28" s="140">
        <f>IF((D28=$G$5)+OR(D28=""),$I28,0)</f>
        <v>0</v>
      </c>
      <c r="O28" s="141">
        <f>IF(D28=$G$3,$I28,0)</f>
        <v>0.05</v>
      </c>
      <c r="P28" s="140">
        <f>IF((E28=$G$5)+OR(E28=""),$I28,0)</f>
        <v>0</v>
      </c>
      <c r="Q28" s="141">
        <f>IF(E28=$G$3,$I28,0)</f>
        <v>0.05</v>
      </c>
      <c r="R28" s="139"/>
      <c r="S28" s="95"/>
      <c r="T28"/>
      <c r="U28"/>
      <c r="V28"/>
    </row>
    <row r="29" spans="1:22" ht="24.95" customHeight="1">
      <c r="B29" s="160" t="s">
        <v>110</v>
      </c>
      <c r="C29" s="160" t="s">
        <v>3</v>
      </c>
      <c r="D29" s="160" t="s">
        <v>3</v>
      </c>
      <c r="E29" s="160" t="s">
        <v>3</v>
      </c>
      <c r="F29" s="107">
        <v>0.05</v>
      </c>
      <c r="G29" s="106"/>
      <c r="H29" s="106"/>
      <c r="I29" s="138">
        <f t="shared" si="6"/>
        <v>0.05</v>
      </c>
      <c r="J29" s="139"/>
      <c r="K29" s="139"/>
      <c r="L29" s="140"/>
      <c r="M29" s="141"/>
      <c r="N29" s="140"/>
      <c r="O29" s="141"/>
      <c r="P29" s="140"/>
      <c r="Q29" s="141"/>
      <c r="R29" s="139"/>
      <c r="S29" s="95"/>
      <c r="T29"/>
      <c r="U29"/>
      <c r="V29"/>
    </row>
    <row r="30" spans="1:22" s="74" customFormat="1" ht="24.95" customHeight="1">
      <c r="B30" s="160" t="s">
        <v>109</v>
      </c>
      <c r="C30" s="160" t="s">
        <v>7</v>
      </c>
      <c r="D30" s="160" t="s">
        <v>7</v>
      </c>
      <c r="E30" s="160" t="s">
        <v>3</v>
      </c>
      <c r="F30" s="142">
        <v>0.05</v>
      </c>
      <c r="G30" s="123"/>
      <c r="H30" s="123"/>
      <c r="I30" s="128">
        <f t="shared" si="6"/>
        <v>0.05</v>
      </c>
      <c r="J30" s="93"/>
      <c r="K30" s="93"/>
      <c r="L30" s="129">
        <f t="shared" si="2"/>
        <v>0.05</v>
      </c>
      <c r="M30" s="124">
        <v>0.05</v>
      </c>
      <c r="N30" s="129">
        <v>0</v>
      </c>
      <c r="O30" s="124">
        <f>IF(D30=$G$3,$I30,0)</f>
        <v>0</v>
      </c>
      <c r="P30" s="124">
        <f>IF(E30=$G$3,$I30,0)</f>
        <v>0.05</v>
      </c>
      <c r="Q30" s="124">
        <f>IF(E30=$G$3,$I30,0)</f>
        <v>0.05</v>
      </c>
      <c r="R30" s="93"/>
      <c r="S30" s="126"/>
    </row>
    <row r="31" spans="1:22" ht="24.95" customHeight="1">
      <c r="B31" s="143" t="s">
        <v>14</v>
      </c>
      <c r="C31" s="99"/>
      <c r="D31" s="99"/>
      <c r="E31" s="99"/>
      <c r="F31" s="144"/>
      <c r="G31" s="137"/>
      <c r="H31" s="123"/>
      <c r="I31" s="136"/>
      <c r="M31" s="129">
        <f>M10*100</f>
        <v>95.000000000000043</v>
      </c>
      <c r="N31" s="129">
        <f>N10*100</f>
        <v>0</v>
      </c>
      <c r="O31" s="129">
        <f>O10*100</f>
        <v>90.000000000000028</v>
      </c>
      <c r="P31" s="129">
        <f>P10*100</f>
        <v>5</v>
      </c>
      <c r="Q31" s="129">
        <f>Q10*100</f>
        <v>100</v>
      </c>
      <c r="R31" s="94"/>
      <c r="S31" s="95"/>
      <c r="T31"/>
      <c r="U31"/>
      <c r="V31"/>
    </row>
    <row r="32" spans="1:22" ht="78.599999999999994" customHeight="1">
      <c r="B32" s="145"/>
      <c r="C32" s="146"/>
      <c r="D32" s="146"/>
      <c r="E32" s="146"/>
      <c r="F32" s="107"/>
      <c r="G32" s="147"/>
      <c r="H32" s="147"/>
      <c r="I32" s="147"/>
      <c r="J32"/>
      <c r="K32"/>
      <c r="L32"/>
      <c r="M32" s="139"/>
      <c r="N32" s="139"/>
      <c r="O32" s="139"/>
      <c r="P32" s="139"/>
      <c r="Q32" s="139"/>
      <c r="R32" s="140">
        <f>AVERAGE(Q31,O31,M31)</f>
        <v>95.000000000000014</v>
      </c>
      <c r="S32" s="126"/>
      <c r="T32"/>
      <c r="U32"/>
      <c r="V32"/>
    </row>
    <row r="33" spans="2:22" ht="90.95" customHeight="1">
      <c r="B33" s="145"/>
      <c r="C33" s="148"/>
      <c r="D33" s="148"/>
      <c r="E33" s="148"/>
      <c r="F33" s="142"/>
      <c r="G33" s="147"/>
      <c r="H33" s="147"/>
      <c r="I33" s="147"/>
      <c r="J33"/>
      <c r="K33"/>
      <c r="L33"/>
      <c r="M33" s="93">
        <v>100</v>
      </c>
      <c r="N33" s="93">
        <v>100</v>
      </c>
      <c r="O33" s="93">
        <v>100</v>
      </c>
      <c r="P33" s="93">
        <v>100</v>
      </c>
      <c r="Q33" s="93">
        <v>100</v>
      </c>
      <c r="R33" s="125"/>
      <c r="S33" s="126"/>
      <c r="T33"/>
      <c r="U33"/>
      <c r="V33"/>
    </row>
    <row r="34" spans="2:22" ht="18">
      <c r="B34" s="145"/>
      <c r="C34" s="149"/>
      <c r="D34" s="149"/>
      <c r="E34" s="149"/>
      <c r="F34" s="142"/>
      <c r="G34" s="147"/>
      <c r="H34" s="147"/>
      <c r="I34" s="147"/>
      <c r="J34"/>
      <c r="K34"/>
      <c r="L34"/>
      <c r="R34" s="125"/>
      <c r="S34" s="126"/>
      <c r="T34"/>
      <c r="U34"/>
      <c r="V34"/>
    </row>
    <row r="35" spans="2:22" ht="24.95" customHeight="1">
      <c r="B35" s="150"/>
      <c r="C35" s="151"/>
      <c r="D35" s="151"/>
      <c r="E35" s="151"/>
      <c r="F35" s="142"/>
      <c r="G35" s="147"/>
      <c r="H35" s="147"/>
      <c r="I35" s="147"/>
      <c r="J35"/>
      <c r="K35"/>
      <c r="L35"/>
      <c r="R35" s="125"/>
      <c r="S35" s="126"/>
      <c r="T35"/>
      <c r="U35"/>
      <c r="V35"/>
    </row>
    <row r="36" spans="2:22" ht="24.95" customHeight="1">
      <c r="B36" s="209" t="s">
        <v>13</v>
      </c>
      <c r="C36" s="210"/>
      <c r="D36" s="210"/>
      <c r="E36" s="211"/>
      <c r="F36" s="19"/>
      <c r="G36" s="137"/>
      <c r="H36" s="123"/>
      <c r="I36" s="123"/>
      <c r="J36" s="98"/>
      <c r="L36" s="139"/>
      <c r="M36" s="139"/>
      <c r="N36" s="139"/>
      <c r="O36" s="139"/>
      <c r="P36" s="139"/>
      <c r="Q36" s="139"/>
      <c r="T36"/>
      <c r="U36"/>
      <c r="V36"/>
    </row>
    <row r="37" spans="2:22" ht="24.95" customHeight="1">
      <c r="B37" s="14"/>
      <c r="C37" s="6"/>
      <c r="D37" s="6"/>
      <c r="E37" s="6"/>
      <c r="F37" s="2"/>
      <c r="G37" s="137"/>
      <c r="H37" s="123"/>
      <c r="I37" s="123"/>
      <c r="J37" s="98"/>
      <c r="L37" s="139"/>
      <c r="M37" s="139"/>
      <c r="N37" s="139"/>
      <c r="O37" s="139"/>
      <c r="P37" s="139"/>
      <c r="Q37" s="139"/>
      <c r="T37"/>
      <c r="U37"/>
      <c r="V37"/>
    </row>
    <row r="38" spans="2:22" ht="24.95" customHeight="1">
      <c r="B38" s="14"/>
      <c r="C38" s="6"/>
      <c r="D38" s="6"/>
      <c r="E38" s="6"/>
      <c r="F38" s="7"/>
      <c r="G38" s="137"/>
      <c r="H38" s="123"/>
      <c r="I38" s="123"/>
      <c r="J38" s="98"/>
      <c r="T38"/>
      <c r="U38"/>
      <c r="V38"/>
    </row>
    <row r="39" spans="2:22" ht="24.95" customHeight="1">
      <c r="B39" s="28"/>
      <c r="C39" s="6"/>
      <c r="D39" s="6"/>
      <c r="E39" s="6"/>
      <c r="F39" s="7"/>
      <c r="G39" s="152"/>
      <c r="T39"/>
      <c r="U39"/>
      <c r="V39"/>
    </row>
    <row r="40" spans="2:22" ht="24.95" customHeight="1">
      <c r="B40" s="212" t="s">
        <v>14</v>
      </c>
      <c r="C40" s="213"/>
      <c r="D40" s="213"/>
      <c r="E40" s="214"/>
      <c r="F40" s="9"/>
      <c r="G40" s="152"/>
      <c r="T40"/>
      <c r="U40"/>
      <c r="V40"/>
    </row>
    <row r="41" spans="2:22" ht="24.95" customHeight="1">
      <c r="B41" s="215" t="s">
        <v>139</v>
      </c>
      <c r="C41" s="216"/>
      <c r="D41" s="216"/>
      <c r="E41" s="217"/>
      <c r="F41" s="2"/>
      <c r="T41"/>
      <c r="U41"/>
      <c r="V41"/>
    </row>
    <row r="42" spans="2:22" ht="24.95" customHeight="1">
      <c r="B42" s="218"/>
      <c r="C42" s="219"/>
      <c r="D42" s="219"/>
      <c r="E42" s="220"/>
      <c r="F42" s="10"/>
      <c r="T42"/>
      <c r="U42"/>
      <c r="V42"/>
    </row>
    <row r="43" spans="2:22" ht="24.95" customHeight="1">
      <c r="B43" s="221" t="s">
        <v>15</v>
      </c>
      <c r="C43" s="222"/>
      <c r="D43" s="222"/>
      <c r="E43" s="223"/>
      <c r="F43" s="10"/>
      <c r="T43"/>
      <c r="U43"/>
      <c r="V43"/>
    </row>
    <row r="44" spans="2:22" ht="24.95" customHeight="1">
      <c r="B44" s="225" t="s">
        <v>140</v>
      </c>
      <c r="C44" s="226"/>
      <c r="D44" s="226"/>
      <c r="E44" s="227"/>
      <c r="F44" s="10"/>
      <c r="T44"/>
      <c r="U44"/>
      <c r="V44"/>
    </row>
    <row r="45" spans="2:22" ht="24.95" customHeight="1">
      <c r="B45" s="225"/>
      <c r="C45" s="226"/>
      <c r="D45" s="226"/>
      <c r="E45" s="227"/>
      <c r="F45" s="10"/>
      <c r="H45" s="92"/>
      <c r="I45" s="92"/>
      <c r="J45" s="139"/>
      <c r="K45" s="139"/>
      <c r="R45" s="139"/>
      <c r="S45"/>
      <c r="T45"/>
      <c r="U45"/>
      <c r="V45"/>
    </row>
    <row r="46" spans="2:22" ht="24.95" customHeight="1">
      <c r="B46" s="221" t="s">
        <v>16</v>
      </c>
      <c r="C46" s="222"/>
      <c r="D46" s="222"/>
      <c r="E46" s="223"/>
      <c r="F46" s="10"/>
      <c r="H46" s="92"/>
      <c r="I46" s="92"/>
      <c r="J46" s="139"/>
      <c r="K46" s="139"/>
      <c r="R46" s="139"/>
      <c r="S46"/>
      <c r="T46"/>
      <c r="U46"/>
      <c r="V46"/>
    </row>
    <row r="47" spans="2:22" ht="24.95" customHeight="1">
      <c r="B47" s="228" t="s">
        <v>141</v>
      </c>
      <c r="C47" s="229"/>
      <c r="D47" s="229"/>
      <c r="E47" s="230"/>
      <c r="F47" s="10"/>
      <c r="H47" s="92"/>
      <c r="I47" s="92"/>
      <c r="J47" s="139"/>
      <c r="K47" s="139"/>
      <c r="R47" s="139"/>
      <c r="S47"/>
      <c r="T47"/>
      <c r="U47"/>
      <c r="V47"/>
    </row>
    <row r="48" spans="2:22" ht="24.95" customHeight="1">
      <c r="B48" s="231"/>
      <c r="C48" s="231"/>
      <c r="D48" s="231"/>
      <c r="E48" s="231"/>
      <c r="F48" s="10"/>
      <c r="H48" s="92"/>
      <c r="I48" s="92"/>
      <c r="J48" s="139"/>
      <c r="K48" s="139"/>
      <c r="R48" s="139"/>
      <c r="S48"/>
      <c r="T48"/>
      <c r="U48"/>
      <c r="V48"/>
    </row>
    <row r="49" spans="2:18" s="74" customFormat="1" ht="24.95" customHeight="1">
      <c r="B49" s="224"/>
      <c r="C49" s="224"/>
      <c r="D49" s="224"/>
      <c r="E49" s="224"/>
      <c r="F49" s="23"/>
      <c r="G49" s="157"/>
      <c r="H49" s="152"/>
      <c r="I49" s="152"/>
      <c r="J49" s="93"/>
      <c r="K49" s="93"/>
      <c r="L49" s="93"/>
      <c r="M49" s="93"/>
      <c r="N49" s="93"/>
      <c r="O49" s="93"/>
      <c r="P49" s="93"/>
      <c r="Q49" s="93"/>
      <c r="R49" s="93"/>
    </row>
    <row r="50" spans="2:18" s="74" customFormat="1" ht="24.95" customHeight="1">
      <c r="B50" s="224"/>
      <c r="C50" s="224"/>
      <c r="D50" s="224"/>
      <c r="E50" s="224"/>
      <c r="F50" s="171"/>
      <c r="G50" s="157"/>
      <c r="H50" s="152"/>
      <c r="I50" s="152"/>
      <c r="J50" s="93"/>
      <c r="K50" s="93"/>
      <c r="L50" s="93"/>
      <c r="M50" s="93"/>
      <c r="N50" s="93"/>
      <c r="O50" s="93"/>
      <c r="P50" s="93"/>
      <c r="Q50" s="93"/>
      <c r="R50" s="93"/>
    </row>
    <row r="51" spans="2:18" s="74" customFormat="1" ht="24.95" customHeight="1">
      <c r="B51" s="155"/>
      <c r="C51" s="153"/>
      <c r="D51" s="153"/>
      <c r="E51" s="154"/>
      <c r="F51" s="156"/>
      <c r="G51" s="157"/>
      <c r="H51" s="152"/>
      <c r="I51" s="152"/>
      <c r="J51" s="93"/>
      <c r="K51" s="93"/>
      <c r="L51" s="93"/>
      <c r="M51" s="93"/>
      <c r="N51" s="93"/>
      <c r="O51" s="93"/>
      <c r="P51" s="93"/>
      <c r="Q51" s="93"/>
      <c r="R51" s="93"/>
    </row>
    <row r="52" spans="2:18" s="74" customFormat="1" ht="24.95" customHeight="1">
      <c r="B52" s="155"/>
      <c r="C52" s="153"/>
      <c r="D52" s="153"/>
      <c r="E52" s="154"/>
      <c r="F52" s="128"/>
      <c r="G52" s="157"/>
      <c r="H52" s="152"/>
      <c r="I52" s="152"/>
      <c r="J52" s="93"/>
      <c r="K52" s="93"/>
      <c r="L52" s="93"/>
      <c r="M52" s="93"/>
      <c r="N52" s="93"/>
      <c r="O52" s="93"/>
      <c r="P52" s="93"/>
      <c r="Q52" s="93"/>
      <c r="R52" s="93"/>
    </row>
    <row r="53" spans="2:18" s="74" customFormat="1" ht="24.95" customHeight="1">
      <c r="B53" s="155"/>
      <c r="C53" s="153"/>
      <c r="D53" s="153"/>
      <c r="E53" s="154"/>
      <c r="F53" s="128"/>
      <c r="G53" s="157"/>
      <c r="H53" s="152"/>
      <c r="I53" s="152"/>
      <c r="J53" s="93"/>
      <c r="K53" s="93"/>
      <c r="L53" s="93"/>
      <c r="M53" s="93"/>
      <c r="N53" s="93"/>
      <c r="O53" s="93"/>
      <c r="P53" s="93"/>
      <c r="Q53" s="93"/>
      <c r="R53" s="93"/>
    </row>
    <row r="54" spans="2:18" s="74" customFormat="1" ht="24.95" customHeight="1">
      <c r="B54" s="155"/>
      <c r="C54" s="153"/>
      <c r="D54" s="153"/>
      <c r="E54" s="154"/>
      <c r="F54" s="128"/>
      <c r="G54" s="157"/>
      <c r="H54" s="152"/>
      <c r="I54" s="152"/>
      <c r="J54" s="93"/>
      <c r="K54" s="93"/>
      <c r="L54" s="93"/>
      <c r="M54" s="93"/>
      <c r="N54" s="93"/>
      <c r="O54" s="93"/>
      <c r="P54" s="93"/>
      <c r="Q54" s="93"/>
      <c r="R54" s="93"/>
    </row>
    <row r="55" spans="2:18" s="74" customFormat="1" ht="24.95" customHeight="1">
      <c r="B55" s="155"/>
      <c r="C55" s="92"/>
      <c r="D55" s="92"/>
      <c r="E55" s="152"/>
      <c r="F55" s="128"/>
      <c r="G55" s="157"/>
      <c r="H55" s="152"/>
      <c r="I55" s="152"/>
      <c r="J55" s="93"/>
      <c r="K55" s="93"/>
      <c r="L55" s="93"/>
      <c r="M55" s="93"/>
      <c r="N55" s="93"/>
      <c r="O55" s="93"/>
      <c r="P55" s="93"/>
      <c r="Q55" s="93"/>
      <c r="R55" s="93"/>
    </row>
    <row r="56" spans="2:18" s="74" customFormat="1" ht="24.95" customHeight="1">
      <c r="B56" s="155"/>
      <c r="C56" s="92"/>
      <c r="D56" s="92"/>
      <c r="E56" s="152"/>
      <c r="F56" s="128"/>
      <c r="G56" s="157"/>
      <c r="H56" s="152"/>
      <c r="I56" s="152"/>
      <c r="J56" s="93"/>
      <c r="K56" s="93"/>
      <c r="L56" s="93"/>
      <c r="M56" s="93"/>
      <c r="N56" s="93"/>
      <c r="O56" s="93"/>
      <c r="P56" s="93"/>
      <c r="Q56" s="93"/>
      <c r="R56" s="93"/>
    </row>
    <row r="57" spans="2:18" s="74" customFormat="1" ht="24.95" customHeight="1">
      <c r="B57" s="155"/>
      <c r="C57" s="92"/>
      <c r="D57" s="92"/>
      <c r="E57" s="152"/>
      <c r="F57" s="128"/>
      <c r="G57" s="157"/>
      <c r="H57" s="152"/>
      <c r="I57" s="152"/>
      <c r="J57" s="93"/>
      <c r="K57" s="93"/>
      <c r="L57" s="93"/>
      <c r="M57" s="93"/>
      <c r="N57" s="93"/>
      <c r="O57" s="93"/>
      <c r="P57" s="93"/>
      <c r="Q57" s="93"/>
      <c r="R57" s="93"/>
    </row>
    <row r="58" spans="2:18" s="74" customFormat="1" ht="24.95" customHeight="1">
      <c r="B58" s="155"/>
      <c r="C58" s="92"/>
      <c r="D58" s="92"/>
      <c r="E58" s="152"/>
      <c r="F58" s="128"/>
      <c r="G58" s="157"/>
      <c r="H58" s="152"/>
      <c r="I58" s="152"/>
      <c r="J58" s="93"/>
      <c r="K58" s="93"/>
      <c r="L58" s="93"/>
      <c r="M58" s="93"/>
      <c r="N58" s="93"/>
      <c r="O58" s="93"/>
      <c r="P58" s="93"/>
      <c r="Q58" s="93"/>
      <c r="R58" s="93"/>
    </row>
    <row r="59" spans="2:18" s="74" customFormat="1" ht="24.95" customHeight="1">
      <c r="B59" s="155"/>
      <c r="C59" s="92"/>
      <c r="D59" s="92"/>
      <c r="E59" s="152"/>
      <c r="F59" s="128"/>
      <c r="G59" s="157"/>
      <c r="H59" s="152"/>
      <c r="I59" s="152"/>
      <c r="J59" s="93"/>
      <c r="K59" s="93"/>
      <c r="L59" s="93"/>
      <c r="M59" s="93"/>
      <c r="N59" s="93"/>
      <c r="O59" s="93"/>
      <c r="P59" s="93"/>
      <c r="Q59" s="93"/>
      <c r="R59" s="93"/>
    </row>
    <row r="60" spans="2:18" s="74" customFormat="1" ht="24.95" customHeight="1">
      <c r="B60" s="155"/>
      <c r="C60" s="92"/>
      <c r="D60" s="92"/>
      <c r="E60" s="152"/>
      <c r="F60" s="128"/>
      <c r="G60" s="157"/>
      <c r="H60" s="152"/>
      <c r="I60" s="152"/>
      <c r="J60" s="93"/>
      <c r="K60" s="93"/>
      <c r="L60" s="93"/>
      <c r="M60" s="93"/>
      <c r="N60" s="93"/>
      <c r="O60" s="93"/>
      <c r="P60" s="93"/>
      <c r="Q60" s="93"/>
      <c r="R60" s="93"/>
    </row>
    <row r="61" spans="2:18" s="74" customFormat="1" ht="24.95" customHeight="1">
      <c r="B61" s="155"/>
      <c r="C61" s="92"/>
      <c r="D61" s="92"/>
      <c r="E61" s="152"/>
      <c r="F61" s="128"/>
      <c r="G61" s="157"/>
      <c r="H61" s="152"/>
      <c r="I61" s="152"/>
      <c r="J61" s="93"/>
      <c r="K61" s="93"/>
      <c r="L61" s="93"/>
      <c r="M61" s="93"/>
      <c r="N61" s="93"/>
      <c r="O61" s="93"/>
      <c r="P61" s="93"/>
      <c r="Q61" s="93"/>
      <c r="R61" s="93"/>
    </row>
    <row r="62" spans="2:18" s="74" customFormat="1" ht="24.95" customHeight="1">
      <c r="B62" s="155"/>
      <c r="C62" s="92"/>
      <c r="D62" s="92"/>
      <c r="E62" s="152"/>
      <c r="F62" s="128"/>
      <c r="G62" s="157"/>
      <c r="H62" s="152"/>
      <c r="I62" s="152"/>
      <c r="J62" s="93"/>
      <c r="K62" s="93"/>
      <c r="L62" s="93"/>
      <c r="M62" s="93"/>
      <c r="N62" s="93"/>
      <c r="O62" s="93"/>
      <c r="P62" s="93"/>
      <c r="Q62" s="93"/>
      <c r="R62" s="93"/>
    </row>
    <row r="63" spans="2:18" s="74" customFormat="1" ht="24.95" customHeight="1">
      <c r="B63" s="155"/>
      <c r="C63" s="92"/>
      <c r="D63" s="92"/>
      <c r="E63" s="152"/>
      <c r="F63" s="128"/>
      <c r="G63" s="157"/>
      <c r="H63" s="152"/>
      <c r="I63" s="152"/>
      <c r="J63" s="93"/>
      <c r="K63" s="93"/>
      <c r="L63" s="93"/>
      <c r="M63" s="93"/>
      <c r="N63" s="93"/>
      <c r="O63" s="93"/>
      <c r="P63" s="93"/>
      <c r="Q63" s="93"/>
      <c r="R63" s="93"/>
    </row>
    <row r="64" spans="2:18" s="74" customFormat="1" ht="24.95" customHeight="1">
      <c r="B64" s="155"/>
      <c r="C64" s="92"/>
      <c r="D64" s="92"/>
      <c r="E64" s="152"/>
      <c r="F64" s="128"/>
      <c r="G64" s="157"/>
      <c r="H64" s="152"/>
      <c r="I64" s="152"/>
      <c r="J64" s="93"/>
      <c r="K64" s="93"/>
      <c r="L64" s="93"/>
      <c r="M64" s="93"/>
      <c r="N64" s="93"/>
      <c r="O64" s="93"/>
      <c r="P64" s="93"/>
      <c r="Q64" s="93"/>
      <c r="R64" s="93"/>
    </row>
    <row r="65" spans="2:18" s="74" customFormat="1" ht="24.95" customHeight="1">
      <c r="B65" s="155"/>
      <c r="C65" s="92"/>
      <c r="D65" s="92"/>
      <c r="E65" s="152"/>
      <c r="F65" s="128"/>
      <c r="G65" s="157"/>
      <c r="H65" s="152"/>
      <c r="I65" s="152"/>
      <c r="J65" s="93"/>
      <c r="K65" s="93"/>
      <c r="L65" s="93"/>
      <c r="M65" s="93"/>
      <c r="N65" s="93"/>
      <c r="O65" s="93"/>
      <c r="P65" s="93"/>
      <c r="Q65" s="93"/>
      <c r="R65" s="93"/>
    </row>
    <row r="66" spans="2:18" s="74" customFormat="1" ht="24.95" customHeight="1">
      <c r="B66" s="155"/>
      <c r="C66" s="92"/>
      <c r="D66" s="92"/>
      <c r="E66" s="152"/>
      <c r="F66" s="128"/>
      <c r="G66" s="157"/>
      <c r="H66" s="152"/>
      <c r="I66" s="152"/>
      <c r="J66" s="93"/>
      <c r="K66" s="93"/>
      <c r="L66" s="93"/>
      <c r="M66" s="93"/>
      <c r="N66" s="93"/>
      <c r="O66" s="93"/>
      <c r="P66" s="93"/>
      <c r="Q66" s="93"/>
      <c r="R66" s="93"/>
    </row>
    <row r="67" spans="2:18" s="74" customFormat="1" ht="24.95" customHeight="1">
      <c r="B67" s="155"/>
      <c r="C67" s="92"/>
      <c r="D67" s="92"/>
      <c r="E67" s="152"/>
      <c r="F67" s="128"/>
      <c r="G67" s="157"/>
      <c r="H67" s="152"/>
      <c r="I67" s="152"/>
      <c r="J67" s="93"/>
      <c r="K67" s="93"/>
      <c r="L67" s="93"/>
      <c r="M67" s="93"/>
      <c r="N67" s="93"/>
      <c r="O67" s="93"/>
      <c r="P67" s="93"/>
      <c r="Q67" s="93"/>
      <c r="R67" s="93"/>
    </row>
    <row r="68" spans="2:18" s="74" customFormat="1" ht="24.95" customHeight="1">
      <c r="B68" s="155"/>
      <c r="C68" s="92"/>
      <c r="D68" s="92"/>
      <c r="E68" s="152"/>
      <c r="F68" s="128"/>
      <c r="G68" s="157"/>
      <c r="H68" s="152"/>
      <c r="I68" s="152"/>
      <c r="J68" s="93"/>
      <c r="K68" s="93"/>
      <c r="L68" s="93"/>
      <c r="M68" s="93"/>
      <c r="N68" s="93"/>
      <c r="O68" s="93"/>
      <c r="P68" s="93"/>
      <c r="Q68" s="93"/>
      <c r="R68" s="93"/>
    </row>
    <row r="69" spans="2:18" s="74" customFormat="1" ht="24.95" customHeight="1">
      <c r="B69" s="155"/>
      <c r="C69" s="92"/>
      <c r="D69" s="92"/>
      <c r="E69" s="152"/>
      <c r="F69" s="128"/>
      <c r="G69" s="157"/>
      <c r="H69" s="152"/>
      <c r="I69" s="152"/>
      <c r="J69" s="93"/>
      <c r="K69" s="93"/>
      <c r="L69" s="93"/>
      <c r="M69" s="93"/>
      <c r="N69" s="93"/>
      <c r="O69" s="93"/>
      <c r="P69" s="93"/>
      <c r="Q69" s="93"/>
      <c r="R69" s="93"/>
    </row>
    <row r="70" spans="2:18" s="74" customFormat="1" ht="24.95" customHeight="1">
      <c r="B70" s="155"/>
      <c r="C70" s="92"/>
      <c r="D70" s="92"/>
      <c r="E70" s="152"/>
      <c r="F70" s="128"/>
      <c r="G70" s="157"/>
      <c r="H70" s="152"/>
      <c r="I70" s="152"/>
      <c r="J70" s="93"/>
      <c r="K70" s="93"/>
      <c r="L70" s="93"/>
      <c r="M70" s="93"/>
      <c r="N70" s="93"/>
      <c r="O70" s="93"/>
      <c r="P70" s="93"/>
      <c r="Q70" s="93"/>
      <c r="R70" s="93"/>
    </row>
    <row r="71" spans="2:18" s="74" customFormat="1" ht="24.95" customHeight="1">
      <c r="B71" s="155"/>
      <c r="C71" s="92"/>
      <c r="D71" s="92"/>
      <c r="E71" s="152"/>
      <c r="F71" s="128"/>
      <c r="G71" s="157"/>
      <c r="H71" s="152"/>
      <c r="I71" s="152"/>
      <c r="J71" s="93"/>
      <c r="K71" s="93"/>
      <c r="L71" s="93"/>
      <c r="M71" s="93"/>
      <c r="N71" s="93"/>
      <c r="O71" s="93"/>
      <c r="P71" s="93"/>
      <c r="Q71" s="93"/>
      <c r="R71" s="93"/>
    </row>
    <row r="72" spans="2:18" s="74" customFormat="1" ht="24.95" customHeight="1">
      <c r="B72" s="155"/>
      <c r="C72" s="92"/>
      <c r="D72" s="92"/>
      <c r="E72" s="152"/>
      <c r="F72" s="128"/>
      <c r="G72" s="157"/>
      <c r="H72" s="152"/>
      <c r="I72" s="152"/>
      <c r="J72" s="93"/>
      <c r="K72" s="93"/>
      <c r="L72" s="93"/>
      <c r="M72" s="93"/>
      <c r="N72" s="93"/>
      <c r="O72" s="93"/>
      <c r="P72" s="93"/>
      <c r="Q72" s="93"/>
      <c r="R72" s="93"/>
    </row>
    <row r="73" spans="2:18" s="74" customFormat="1" ht="24.95" customHeight="1">
      <c r="B73" s="155"/>
      <c r="C73" s="92"/>
      <c r="D73" s="92"/>
      <c r="E73" s="152"/>
      <c r="F73" s="158"/>
      <c r="G73" s="157"/>
      <c r="H73" s="152"/>
      <c r="I73" s="152"/>
      <c r="J73" s="93"/>
      <c r="K73" s="93"/>
      <c r="L73" s="93"/>
      <c r="M73" s="93"/>
      <c r="N73" s="93"/>
      <c r="O73" s="93"/>
      <c r="P73" s="93"/>
      <c r="Q73" s="93"/>
      <c r="R73" s="93"/>
    </row>
    <row r="74" spans="2:18" s="74" customFormat="1" ht="24.95" customHeight="1">
      <c r="B74" s="155"/>
      <c r="C74" s="92"/>
      <c r="D74" s="92"/>
      <c r="E74" s="152"/>
      <c r="F74" s="158"/>
      <c r="G74" s="157"/>
      <c r="H74" s="152"/>
      <c r="I74" s="152"/>
      <c r="J74" s="93"/>
      <c r="K74" s="93"/>
      <c r="L74" s="93"/>
      <c r="M74" s="93"/>
      <c r="N74" s="93"/>
      <c r="O74" s="93"/>
      <c r="P74" s="93"/>
      <c r="Q74" s="93"/>
      <c r="R74" s="93"/>
    </row>
    <row r="75" spans="2:18" s="74" customFormat="1" ht="24.95" customHeight="1">
      <c r="B75" s="155"/>
      <c r="C75" s="92"/>
      <c r="D75" s="92"/>
      <c r="E75" s="152"/>
      <c r="F75" s="158"/>
      <c r="G75" s="157"/>
      <c r="H75" s="152"/>
      <c r="I75" s="152"/>
      <c r="J75" s="93"/>
      <c r="K75" s="93"/>
      <c r="L75" s="93"/>
      <c r="M75" s="93"/>
      <c r="N75" s="93"/>
      <c r="O75" s="93"/>
      <c r="P75" s="93"/>
      <c r="Q75" s="93"/>
      <c r="R75" s="93"/>
    </row>
    <row r="76" spans="2:18" s="74" customFormat="1" ht="24.95" customHeight="1">
      <c r="B76" s="155"/>
      <c r="C76" s="92"/>
      <c r="D76" s="92"/>
      <c r="E76" s="152"/>
      <c r="F76" s="158"/>
      <c r="G76" s="157"/>
      <c r="H76" s="152"/>
      <c r="I76" s="152"/>
      <c r="J76" s="93"/>
      <c r="K76" s="93"/>
      <c r="L76" s="93"/>
      <c r="M76" s="93"/>
      <c r="N76" s="93"/>
      <c r="O76" s="93"/>
      <c r="P76" s="93"/>
      <c r="Q76" s="93"/>
      <c r="R76" s="93"/>
    </row>
    <row r="77" spans="2:18" s="74" customFormat="1" ht="24.95" customHeight="1">
      <c r="B77" s="155"/>
      <c r="C77" s="92"/>
      <c r="D77" s="92"/>
      <c r="E77" s="152"/>
      <c r="F77" s="158"/>
      <c r="G77" s="157"/>
      <c r="H77" s="152"/>
      <c r="I77" s="152"/>
      <c r="J77" s="93"/>
      <c r="K77" s="93"/>
      <c r="L77" s="93"/>
      <c r="M77" s="93"/>
      <c r="N77" s="93"/>
      <c r="O77" s="93"/>
      <c r="P77" s="93"/>
      <c r="Q77" s="93"/>
      <c r="R77" s="93"/>
    </row>
    <row r="78" spans="2:18" s="74" customFormat="1" ht="24.95" customHeight="1">
      <c r="B78" s="155"/>
      <c r="C78" s="92"/>
      <c r="D78" s="92"/>
      <c r="E78" s="152"/>
      <c r="F78" s="158"/>
      <c r="G78" s="157"/>
      <c r="H78" s="152"/>
      <c r="I78" s="152"/>
      <c r="J78" s="93"/>
      <c r="K78" s="93"/>
      <c r="L78" s="93"/>
      <c r="M78" s="93"/>
      <c r="N78" s="93"/>
      <c r="O78" s="93"/>
      <c r="P78" s="93"/>
      <c r="Q78" s="93"/>
      <c r="R78" s="93"/>
    </row>
    <row r="79" spans="2:18" s="74" customFormat="1" ht="24.95" customHeight="1">
      <c r="B79" s="155"/>
      <c r="C79" s="92"/>
      <c r="D79" s="92"/>
      <c r="E79" s="152"/>
      <c r="F79" s="158"/>
      <c r="G79" s="157"/>
      <c r="H79" s="152"/>
      <c r="I79" s="152"/>
      <c r="J79" s="93"/>
      <c r="K79" s="93"/>
      <c r="L79" s="93"/>
      <c r="M79" s="93"/>
      <c r="N79" s="93"/>
      <c r="O79" s="93"/>
      <c r="P79" s="93"/>
      <c r="Q79" s="93"/>
      <c r="R79" s="93"/>
    </row>
    <row r="80" spans="2:18" s="74" customFormat="1" ht="24.95" customHeight="1">
      <c r="B80" s="155"/>
      <c r="C80" s="92"/>
      <c r="D80" s="92"/>
      <c r="E80" s="152"/>
      <c r="F80" s="158"/>
      <c r="G80" s="157"/>
      <c r="H80" s="152"/>
      <c r="I80" s="152"/>
      <c r="J80" s="93"/>
      <c r="K80" s="93"/>
      <c r="L80" s="93"/>
      <c r="M80" s="93"/>
      <c r="N80" s="93"/>
      <c r="O80" s="93"/>
      <c r="P80" s="93"/>
      <c r="Q80" s="93"/>
      <c r="R80" s="93"/>
    </row>
    <row r="81" spans="2:18" s="74" customFormat="1" ht="24.95" customHeight="1">
      <c r="B81" s="155"/>
      <c r="C81" s="92"/>
      <c r="D81" s="92"/>
      <c r="E81" s="152"/>
      <c r="F81" s="158"/>
      <c r="G81" s="157"/>
      <c r="H81" s="152"/>
      <c r="I81" s="152"/>
      <c r="J81" s="93"/>
      <c r="K81" s="93"/>
      <c r="L81" s="93"/>
      <c r="M81" s="93"/>
      <c r="N81" s="93"/>
      <c r="O81" s="93"/>
      <c r="P81" s="93"/>
      <c r="Q81" s="93"/>
      <c r="R81" s="93"/>
    </row>
    <row r="82" spans="2:18" s="74" customFormat="1" ht="24.95" customHeight="1">
      <c r="B82" s="155"/>
      <c r="C82" s="92"/>
      <c r="D82" s="92"/>
      <c r="E82" s="152"/>
      <c r="F82" s="158"/>
      <c r="G82" s="157"/>
      <c r="H82" s="152"/>
      <c r="I82" s="152"/>
      <c r="J82" s="93"/>
      <c r="K82" s="93"/>
      <c r="L82" s="93"/>
      <c r="M82" s="93"/>
      <c r="N82" s="93"/>
      <c r="O82" s="93"/>
      <c r="P82" s="93"/>
      <c r="Q82" s="93"/>
      <c r="R82" s="93"/>
    </row>
    <row r="83" spans="2:18" s="74" customFormat="1" ht="24.95" customHeight="1">
      <c r="B83" s="155"/>
      <c r="C83" s="92"/>
      <c r="D83" s="92"/>
      <c r="E83" s="152"/>
      <c r="F83" s="158"/>
      <c r="G83" s="157"/>
      <c r="H83" s="152"/>
      <c r="I83" s="152"/>
      <c r="J83" s="93"/>
      <c r="K83" s="93"/>
      <c r="L83" s="93"/>
      <c r="M83" s="93"/>
      <c r="N83" s="93"/>
      <c r="O83" s="93"/>
      <c r="P83" s="93"/>
      <c r="Q83" s="93"/>
      <c r="R83" s="93"/>
    </row>
    <row r="84" spans="2:18" s="74" customFormat="1" ht="24.95" customHeight="1">
      <c r="B84" s="155"/>
      <c r="C84" s="92"/>
      <c r="D84" s="92"/>
      <c r="E84" s="152"/>
      <c r="F84" s="158"/>
      <c r="G84" s="157"/>
      <c r="H84" s="152"/>
      <c r="I84" s="152"/>
      <c r="J84" s="93"/>
      <c r="K84" s="93"/>
      <c r="L84" s="93"/>
      <c r="M84" s="93"/>
      <c r="N84" s="93"/>
      <c r="O84" s="93"/>
      <c r="P84" s="93"/>
      <c r="Q84" s="93"/>
      <c r="R84" s="93"/>
    </row>
    <row r="85" spans="2:18" s="74" customFormat="1" ht="24.95" customHeight="1">
      <c r="B85" s="155"/>
      <c r="C85" s="92"/>
      <c r="D85" s="92"/>
      <c r="E85" s="152"/>
      <c r="F85" s="158"/>
      <c r="G85" s="157"/>
      <c r="H85" s="152"/>
      <c r="I85" s="152"/>
      <c r="J85" s="93"/>
      <c r="K85" s="93"/>
      <c r="L85" s="93"/>
      <c r="M85" s="93"/>
      <c r="N85" s="93"/>
      <c r="O85" s="93"/>
      <c r="P85" s="93"/>
      <c r="Q85" s="93"/>
      <c r="R85" s="93"/>
    </row>
    <row r="86" spans="2:18" s="74" customFormat="1" ht="24.95" customHeight="1">
      <c r="B86" s="155"/>
      <c r="C86" s="92"/>
      <c r="D86" s="92"/>
      <c r="E86" s="152"/>
      <c r="F86" s="158"/>
      <c r="G86" s="157"/>
      <c r="H86" s="152"/>
      <c r="I86" s="152"/>
      <c r="J86" s="93"/>
      <c r="K86" s="93"/>
      <c r="L86" s="93"/>
      <c r="M86" s="93"/>
      <c r="N86" s="93"/>
      <c r="O86" s="93"/>
      <c r="P86" s="93"/>
      <c r="Q86" s="93"/>
      <c r="R86" s="93"/>
    </row>
    <row r="87" spans="2:18" s="74" customFormat="1" ht="24.95" customHeight="1">
      <c r="B87" s="155"/>
      <c r="C87" s="92"/>
      <c r="D87" s="92"/>
      <c r="E87" s="152"/>
      <c r="F87" s="158"/>
      <c r="G87" s="157"/>
      <c r="H87" s="152"/>
      <c r="I87" s="152"/>
      <c r="J87" s="93"/>
      <c r="K87" s="93"/>
      <c r="L87" s="93"/>
      <c r="M87" s="93"/>
      <c r="N87" s="93"/>
      <c r="O87" s="93"/>
      <c r="P87" s="93"/>
      <c r="Q87" s="93"/>
      <c r="R87" s="93"/>
    </row>
    <row r="88" spans="2:18" s="74" customFormat="1" ht="24.95" customHeight="1">
      <c r="B88" s="155"/>
      <c r="C88" s="92"/>
      <c r="D88" s="92"/>
      <c r="E88" s="152"/>
      <c r="F88" s="158"/>
      <c r="G88" s="157"/>
      <c r="H88" s="152"/>
      <c r="I88" s="152"/>
      <c r="J88" s="93"/>
      <c r="K88" s="93"/>
      <c r="L88" s="93"/>
      <c r="M88" s="93"/>
      <c r="N88" s="93"/>
      <c r="O88" s="93"/>
      <c r="P88" s="93"/>
      <c r="Q88" s="93"/>
      <c r="R88" s="93"/>
    </row>
    <row r="89" spans="2:18" s="74" customFormat="1" ht="24.95" customHeight="1">
      <c r="B89" s="155"/>
      <c r="C89" s="92"/>
      <c r="D89" s="92"/>
      <c r="E89" s="152"/>
      <c r="F89" s="158"/>
      <c r="G89" s="157"/>
      <c r="H89" s="152"/>
      <c r="I89" s="152"/>
      <c r="J89" s="93"/>
      <c r="K89" s="93"/>
      <c r="L89" s="93"/>
      <c r="M89" s="93"/>
      <c r="N89" s="93"/>
      <c r="O89" s="93"/>
      <c r="P89" s="93"/>
      <c r="Q89" s="93"/>
      <c r="R89" s="93"/>
    </row>
    <row r="90" spans="2:18" s="74" customFormat="1" ht="24.95" customHeight="1">
      <c r="B90" s="155"/>
      <c r="C90" s="92"/>
      <c r="D90" s="92"/>
      <c r="E90" s="152"/>
      <c r="F90" s="158"/>
      <c r="G90" s="157"/>
      <c r="H90" s="152"/>
      <c r="I90" s="152"/>
      <c r="J90" s="93"/>
      <c r="K90" s="93"/>
      <c r="L90" s="93"/>
      <c r="M90" s="93"/>
      <c r="N90" s="93"/>
      <c r="O90" s="93"/>
      <c r="P90" s="93"/>
      <c r="Q90" s="93"/>
      <c r="R90" s="93"/>
    </row>
    <row r="91" spans="2:18" s="74" customFormat="1" ht="24.95" customHeight="1">
      <c r="B91" s="155"/>
      <c r="C91" s="92"/>
      <c r="D91" s="92"/>
      <c r="E91" s="152"/>
      <c r="F91" s="158"/>
      <c r="G91" s="157"/>
      <c r="H91" s="152"/>
      <c r="I91" s="152"/>
      <c r="J91" s="93"/>
      <c r="K91" s="93"/>
      <c r="L91" s="93"/>
      <c r="M91" s="93"/>
      <c r="N91" s="93"/>
      <c r="O91" s="93"/>
      <c r="P91" s="93"/>
      <c r="Q91" s="93"/>
      <c r="R91" s="93"/>
    </row>
    <row r="92" spans="2:18" s="74" customFormat="1" ht="24.95" customHeight="1">
      <c r="B92" s="155"/>
      <c r="C92" s="92"/>
      <c r="D92" s="92"/>
      <c r="E92" s="152"/>
      <c r="F92" s="158"/>
      <c r="G92" s="157"/>
      <c r="H92" s="152"/>
      <c r="I92" s="152"/>
      <c r="J92" s="93"/>
      <c r="K92" s="93"/>
      <c r="L92" s="93"/>
      <c r="M92" s="93"/>
      <c r="N92" s="93"/>
      <c r="O92" s="93"/>
      <c r="P92" s="93"/>
      <c r="Q92" s="93"/>
      <c r="R92" s="93"/>
    </row>
    <row r="93" spans="2:18" s="74" customFormat="1" ht="24.95" customHeight="1">
      <c r="B93" s="155"/>
      <c r="C93" s="92"/>
      <c r="D93" s="92"/>
      <c r="E93" s="152"/>
      <c r="F93" s="158"/>
      <c r="G93" s="157"/>
      <c r="H93" s="152"/>
      <c r="I93" s="152"/>
      <c r="J93" s="93"/>
      <c r="K93" s="93"/>
      <c r="L93" s="93"/>
      <c r="M93" s="93"/>
      <c r="N93" s="93"/>
      <c r="O93" s="93"/>
      <c r="P93" s="93"/>
      <c r="Q93" s="93"/>
      <c r="R93" s="93"/>
    </row>
    <row r="94" spans="2:18" s="74" customFormat="1" ht="24.95" customHeight="1">
      <c r="B94" s="155"/>
      <c r="C94" s="92"/>
      <c r="D94" s="92"/>
      <c r="E94" s="152"/>
      <c r="F94" s="158"/>
      <c r="G94" s="157"/>
      <c r="H94" s="152"/>
      <c r="I94" s="152"/>
      <c r="J94" s="93"/>
      <c r="K94" s="93"/>
      <c r="L94" s="93"/>
      <c r="M94" s="93"/>
      <c r="N94" s="93"/>
      <c r="O94" s="93"/>
      <c r="P94" s="93"/>
      <c r="Q94" s="93"/>
      <c r="R94" s="93"/>
    </row>
    <row r="95" spans="2:18" s="74" customFormat="1" ht="24.95" customHeight="1">
      <c r="B95" s="155"/>
      <c r="C95" s="92"/>
      <c r="D95" s="92"/>
      <c r="E95" s="152"/>
      <c r="F95" s="158"/>
      <c r="G95" s="157"/>
      <c r="H95" s="152"/>
      <c r="I95" s="152"/>
      <c r="J95" s="93"/>
      <c r="K95" s="93"/>
      <c r="L95" s="93"/>
      <c r="M95" s="93"/>
      <c r="N95" s="93"/>
      <c r="O95" s="93"/>
      <c r="P95" s="93"/>
      <c r="Q95" s="93"/>
      <c r="R95" s="93"/>
    </row>
    <row r="96" spans="2:18" s="74" customFormat="1" ht="24.95" customHeight="1">
      <c r="B96" s="155"/>
      <c r="C96" s="92"/>
      <c r="D96" s="92"/>
      <c r="E96" s="152"/>
      <c r="F96" s="158"/>
      <c r="G96" s="157"/>
      <c r="H96" s="152"/>
      <c r="I96" s="152"/>
      <c r="J96" s="93"/>
      <c r="K96" s="93"/>
      <c r="L96" s="93"/>
      <c r="M96" s="93"/>
      <c r="N96" s="93"/>
      <c r="O96" s="93"/>
      <c r="P96" s="93"/>
      <c r="Q96" s="93"/>
      <c r="R96" s="93"/>
    </row>
    <row r="97" spans="2:18" s="74" customFormat="1" ht="24.95" customHeight="1">
      <c r="B97" s="155"/>
      <c r="C97" s="92"/>
      <c r="D97" s="92"/>
      <c r="E97" s="152"/>
      <c r="F97" s="158"/>
      <c r="G97" s="157"/>
      <c r="H97" s="152"/>
      <c r="I97" s="152"/>
      <c r="J97" s="93"/>
      <c r="K97" s="93"/>
      <c r="L97" s="93"/>
      <c r="M97" s="93"/>
      <c r="N97" s="93"/>
      <c r="O97" s="93"/>
      <c r="P97" s="93"/>
      <c r="Q97" s="93"/>
      <c r="R97" s="93"/>
    </row>
    <row r="98" spans="2:18" s="74" customFormat="1" ht="24.95" customHeight="1">
      <c r="B98" s="155"/>
      <c r="C98" s="92"/>
      <c r="D98" s="92"/>
      <c r="E98" s="152"/>
      <c r="F98" s="158"/>
      <c r="G98" s="157"/>
      <c r="H98" s="152"/>
      <c r="I98" s="152"/>
      <c r="J98" s="93"/>
      <c r="K98" s="93"/>
      <c r="L98" s="93"/>
      <c r="M98" s="93"/>
      <c r="N98" s="93"/>
      <c r="O98" s="93"/>
      <c r="P98" s="93"/>
      <c r="Q98" s="93"/>
      <c r="R98" s="93"/>
    </row>
    <row r="99" spans="2:18" s="74" customFormat="1" ht="24.95" customHeight="1">
      <c r="B99" s="155"/>
      <c r="C99" s="92"/>
      <c r="D99" s="92"/>
      <c r="E99" s="152"/>
      <c r="F99" s="158"/>
      <c r="G99" s="157"/>
      <c r="H99" s="152"/>
      <c r="I99" s="152"/>
      <c r="J99" s="93"/>
      <c r="K99" s="93"/>
      <c r="L99" s="93"/>
      <c r="M99" s="93"/>
      <c r="N99" s="93"/>
      <c r="O99" s="93"/>
      <c r="P99" s="93"/>
      <c r="Q99" s="93"/>
      <c r="R99" s="93"/>
    </row>
    <row r="100" spans="2:18" s="74" customFormat="1" ht="24.95" customHeight="1">
      <c r="B100" s="155"/>
      <c r="C100" s="92"/>
      <c r="D100" s="92"/>
      <c r="E100" s="152"/>
      <c r="F100" s="158"/>
      <c r="G100" s="157"/>
      <c r="H100" s="152"/>
      <c r="I100" s="152"/>
      <c r="J100" s="93"/>
      <c r="K100" s="93"/>
      <c r="L100" s="93"/>
      <c r="M100" s="93"/>
      <c r="N100" s="93"/>
      <c r="O100" s="93"/>
      <c r="P100" s="93"/>
      <c r="Q100" s="93"/>
      <c r="R100" s="93"/>
    </row>
    <row r="101" spans="2:18" s="74" customFormat="1" ht="24.95" customHeight="1">
      <c r="B101" s="155"/>
      <c r="C101" s="92"/>
      <c r="D101" s="92"/>
      <c r="E101" s="152"/>
      <c r="F101" s="158"/>
      <c r="G101" s="157"/>
      <c r="H101" s="152"/>
      <c r="I101" s="152"/>
      <c r="J101" s="93"/>
      <c r="K101" s="93"/>
      <c r="L101" s="93"/>
      <c r="M101" s="93"/>
      <c r="N101" s="93"/>
      <c r="O101" s="93"/>
      <c r="P101" s="93"/>
      <c r="Q101" s="93"/>
      <c r="R101" s="93"/>
    </row>
    <row r="102" spans="2:18" s="74" customFormat="1" ht="24.95" customHeight="1">
      <c r="B102" s="155"/>
      <c r="C102" s="92"/>
      <c r="D102" s="92"/>
      <c r="E102" s="152"/>
      <c r="F102" s="158"/>
      <c r="G102" s="157"/>
      <c r="H102" s="152"/>
      <c r="I102" s="152"/>
      <c r="J102" s="93"/>
      <c r="K102" s="93"/>
      <c r="L102" s="93"/>
      <c r="M102" s="93"/>
      <c r="N102" s="93"/>
      <c r="O102" s="93"/>
      <c r="P102" s="93"/>
      <c r="Q102" s="93"/>
      <c r="R102" s="93"/>
    </row>
    <row r="103" spans="2:18" s="74" customFormat="1" ht="24.95" customHeight="1">
      <c r="B103" s="155"/>
      <c r="C103" s="92"/>
      <c r="D103" s="92"/>
      <c r="E103" s="152"/>
      <c r="F103" s="158"/>
      <c r="G103" s="157"/>
      <c r="H103" s="152"/>
      <c r="I103" s="152"/>
      <c r="J103" s="93"/>
      <c r="K103" s="93"/>
      <c r="L103" s="93"/>
      <c r="M103" s="93"/>
      <c r="N103" s="93"/>
      <c r="O103" s="93"/>
      <c r="P103" s="93"/>
      <c r="Q103" s="93"/>
      <c r="R103" s="93"/>
    </row>
    <row r="104" spans="2:18" s="74" customFormat="1" ht="24.95" customHeight="1">
      <c r="B104" s="155"/>
      <c r="C104" s="92"/>
      <c r="D104" s="92"/>
      <c r="E104" s="152"/>
      <c r="F104" s="158"/>
      <c r="G104" s="157"/>
      <c r="H104" s="152"/>
      <c r="I104" s="152"/>
      <c r="J104" s="93"/>
      <c r="K104" s="93"/>
      <c r="L104" s="93"/>
      <c r="M104" s="93"/>
      <c r="N104" s="93"/>
      <c r="O104" s="93"/>
      <c r="P104" s="93"/>
      <c r="Q104" s="93"/>
      <c r="R104" s="93"/>
    </row>
    <row r="105" spans="2:18" s="74" customFormat="1" ht="24.95" customHeight="1">
      <c r="B105" s="155"/>
      <c r="C105" s="92"/>
      <c r="D105" s="92"/>
      <c r="E105" s="152"/>
      <c r="F105" s="158"/>
      <c r="G105" s="157"/>
      <c r="H105" s="152"/>
      <c r="I105" s="152"/>
      <c r="J105" s="93"/>
      <c r="K105" s="93"/>
      <c r="L105" s="93"/>
      <c r="M105" s="93"/>
      <c r="N105" s="93"/>
      <c r="O105" s="93"/>
      <c r="P105" s="93"/>
      <c r="Q105" s="93"/>
      <c r="R105" s="93"/>
    </row>
    <row r="106" spans="2:18" s="74" customFormat="1" ht="24.95" customHeight="1">
      <c r="B106" s="155"/>
      <c r="C106" s="92"/>
      <c r="D106" s="92"/>
      <c r="E106" s="152"/>
      <c r="F106" s="158"/>
      <c r="G106" s="157"/>
      <c r="H106" s="152"/>
      <c r="I106" s="152"/>
      <c r="J106" s="93"/>
      <c r="K106" s="93"/>
      <c r="L106" s="93"/>
      <c r="M106" s="93"/>
      <c r="N106" s="93"/>
      <c r="O106" s="93"/>
      <c r="P106" s="93"/>
      <c r="Q106" s="93"/>
      <c r="R106" s="93"/>
    </row>
    <row r="107" spans="2:18" s="74" customFormat="1" ht="24.95" customHeight="1">
      <c r="B107" s="155"/>
      <c r="C107" s="92"/>
      <c r="D107" s="92"/>
      <c r="E107" s="152"/>
      <c r="F107" s="158"/>
      <c r="G107" s="157"/>
      <c r="H107" s="152"/>
      <c r="I107" s="152"/>
      <c r="J107" s="93"/>
      <c r="K107" s="93"/>
      <c r="L107" s="93"/>
      <c r="M107" s="93"/>
      <c r="N107" s="93"/>
      <c r="O107" s="93"/>
      <c r="P107" s="93"/>
      <c r="Q107" s="93"/>
      <c r="R107" s="93"/>
    </row>
    <row r="108" spans="2:18" s="74" customFormat="1" ht="24.95" customHeight="1">
      <c r="B108" s="155"/>
      <c r="C108" s="92"/>
      <c r="D108" s="92"/>
      <c r="E108" s="152"/>
      <c r="F108" s="158"/>
      <c r="G108" s="157"/>
      <c r="H108" s="152"/>
      <c r="I108" s="152"/>
      <c r="J108" s="93"/>
      <c r="K108" s="93"/>
      <c r="L108" s="93"/>
      <c r="M108" s="93"/>
      <c r="N108" s="93"/>
      <c r="O108" s="93"/>
      <c r="P108" s="93"/>
      <c r="Q108" s="93"/>
      <c r="R108" s="93"/>
    </row>
    <row r="109" spans="2:18" s="74" customFormat="1" ht="24.95" customHeight="1">
      <c r="B109" s="155"/>
      <c r="C109" s="92"/>
      <c r="D109" s="92"/>
      <c r="E109" s="152"/>
      <c r="F109" s="158"/>
      <c r="G109" s="157"/>
      <c r="H109" s="152"/>
      <c r="I109" s="152"/>
      <c r="J109" s="93"/>
      <c r="K109" s="93"/>
      <c r="L109" s="93"/>
      <c r="M109" s="93"/>
      <c r="N109" s="93"/>
      <c r="O109" s="93"/>
      <c r="P109" s="93"/>
      <c r="Q109" s="93"/>
      <c r="R109" s="93"/>
    </row>
    <row r="110" spans="2:18" s="74" customFormat="1" ht="24.95" customHeight="1">
      <c r="B110" s="155"/>
      <c r="C110" s="92"/>
      <c r="D110" s="92"/>
      <c r="E110" s="152"/>
      <c r="F110" s="158"/>
      <c r="G110" s="157"/>
      <c r="H110" s="152"/>
      <c r="I110" s="152"/>
      <c r="J110" s="93"/>
      <c r="K110" s="93"/>
      <c r="L110" s="93"/>
      <c r="M110" s="93"/>
      <c r="N110" s="93"/>
      <c r="O110" s="93"/>
      <c r="P110" s="93"/>
      <c r="Q110" s="93"/>
      <c r="R110" s="93"/>
    </row>
    <row r="111" spans="2:18" s="74" customFormat="1" ht="24.95" customHeight="1">
      <c r="B111" s="155"/>
      <c r="C111" s="92"/>
      <c r="D111" s="92"/>
      <c r="E111" s="152"/>
      <c r="F111" s="158"/>
      <c r="G111" s="157"/>
      <c r="H111" s="152"/>
      <c r="I111" s="152"/>
      <c r="J111" s="93"/>
      <c r="K111" s="93"/>
      <c r="L111" s="93"/>
      <c r="M111" s="93"/>
      <c r="N111" s="93"/>
      <c r="O111" s="93"/>
      <c r="P111" s="93"/>
      <c r="Q111" s="93"/>
      <c r="R111" s="93"/>
    </row>
    <row r="112" spans="2:18" s="74" customFormat="1" ht="24.95" customHeight="1">
      <c r="B112" s="155"/>
      <c r="C112" s="92"/>
      <c r="D112" s="92"/>
      <c r="E112" s="152"/>
      <c r="F112" s="158"/>
      <c r="G112" s="157"/>
      <c r="H112" s="152"/>
      <c r="I112" s="152"/>
      <c r="J112" s="93"/>
      <c r="K112" s="93"/>
      <c r="L112" s="93"/>
      <c r="M112" s="93"/>
      <c r="N112" s="93"/>
      <c r="O112" s="93"/>
      <c r="P112" s="93"/>
      <c r="Q112" s="93"/>
      <c r="R112" s="93"/>
    </row>
    <row r="113" spans="2:18" s="74" customFormat="1" ht="24.95" customHeight="1">
      <c r="B113" s="155"/>
      <c r="C113" s="92"/>
      <c r="D113" s="92"/>
      <c r="E113" s="152"/>
      <c r="F113" s="158"/>
      <c r="G113" s="157"/>
      <c r="H113" s="152"/>
      <c r="I113" s="152"/>
      <c r="J113" s="93"/>
      <c r="K113" s="93"/>
      <c r="L113" s="93"/>
      <c r="M113" s="93"/>
      <c r="N113" s="93"/>
      <c r="O113" s="93"/>
      <c r="P113" s="93"/>
      <c r="Q113" s="93"/>
      <c r="R113" s="93"/>
    </row>
    <row r="114" spans="2:18" s="74" customFormat="1" ht="24.95" customHeight="1">
      <c r="B114" s="155"/>
      <c r="C114" s="92"/>
      <c r="D114" s="92"/>
      <c r="E114" s="152"/>
      <c r="F114" s="158"/>
      <c r="G114" s="157"/>
      <c r="H114" s="152"/>
      <c r="I114" s="152"/>
      <c r="J114" s="93"/>
      <c r="K114" s="93"/>
      <c r="L114" s="93"/>
      <c r="M114" s="93"/>
      <c r="N114" s="93"/>
      <c r="O114" s="93"/>
      <c r="P114" s="93"/>
      <c r="Q114" s="93"/>
      <c r="R114" s="93"/>
    </row>
    <row r="115" spans="2:18" s="74" customFormat="1" ht="24.95" customHeight="1">
      <c r="B115" s="155"/>
      <c r="C115" s="92"/>
      <c r="D115" s="92"/>
      <c r="E115" s="152"/>
      <c r="F115" s="158"/>
      <c r="G115" s="157"/>
      <c r="H115" s="152"/>
      <c r="I115" s="152"/>
      <c r="J115" s="93"/>
      <c r="K115" s="93"/>
      <c r="L115" s="93"/>
      <c r="M115" s="93"/>
      <c r="N115" s="93"/>
      <c r="O115" s="93"/>
      <c r="P115" s="93"/>
      <c r="Q115" s="93"/>
      <c r="R115" s="93"/>
    </row>
    <row r="116" spans="2:18" s="74" customFormat="1" ht="24.95" customHeight="1">
      <c r="B116" s="155"/>
      <c r="C116" s="92"/>
      <c r="D116" s="92"/>
      <c r="E116" s="152"/>
      <c r="F116" s="158"/>
      <c r="G116" s="157"/>
      <c r="H116" s="152"/>
      <c r="I116" s="152"/>
      <c r="J116" s="93"/>
      <c r="K116" s="93"/>
      <c r="L116" s="93"/>
      <c r="M116" s="93"/>
      <c r="N116" s="93"/>
      <c r="O116" s="93"/>
      <c r="P116" s="93"/>
      <c r="Q116" s="93"/>
      <c r="R116" s="93"/>
    </row>
    <row r="117" spans="2:18" s="74" customFormat="1" ht="24.95" customHeight="1">
      <c r="B117" s="155"/>
      <c r="C117" s="92"/>
      <c r="D117" s="92"/>
      <c r="E117" s="152"/>
      <c r="F117" s="158"/>
      <c r="G117" s="157"/>
      <c r="H117" s="152"/>
      <c r="I117" s="152"/>
      <c r="J117" s="93"/>
      <c r="K117" s="93"/>
      <c r="L117" s="93"/>
      <c r="M117" s="93"/>
      <c r="N117" s="93"/>
      <c r="O117" s="93"/>
      <c r="P117" s="93"/>
      <c r="Q117" s="93"/>
      <c r="R117" s="93"/>
    </row>
    <row r="118" spans="2:18" s="74" customFormat="1" ht="24.95" customHeight="1">
      <c r="B118" s="155"/>
      <c r="C118" s="92"/>
      <c r="D118" s="92"/>
      <c r="E118" s="152"/>
      <c r="F118" s="158"/>
      <c r="G118" s="157"/>
      <c r="H118" s="152"/>
      <c r="I118" s="152"/>
      <c r="J118" s="93"/>
      <c r="K118" s="93"/>
      <c r="L118" s="93"/>
      <c r="M118" s="93"/>
      <c r="N118" s="93"/>
      <c r="O118" s="93"/>
      <c r="P118" s="93"/>
      <c r="Q118" s="93"/>
      <c r="R118" s="93"/>
    </row>
    <row r="119" spans="2:18" s="74" customFormat="1" ht="24.95" customHeight="1">
      <c r="B119" s="155"/>
      <c r="C119" s="92"/>
      <c r="D119" s="92"/>
      <c r="E119" s="152"/>
      <c r="F119" s="158"/>
      <c r="G119" s="157"/>
      <c r="H119" s="152"/>
      <c r="I119" s="152"/>
      <c r="J119" s="93"/>
      <c r="K119" s="93"/>
      <c r="L119" s="93"/>
      <c r="M119" s="93"/>
      <c r="N119" s="93"/>
      <c r="O119" s="93"/>
      <c r="P119" s="93"/>
      <c r="Q119" s="93"/>
      <c r="R119" s="93"/>
    </row>
    <row r="120" spans="2:18" s="74" customFormat="1" ht="24.95" customHeight="1">
      <c r="B120" s="155"/>
      <c r="C120" s="92"/>
      <c r="D120" s="92"/>
      <c r="E120" s="152"/>
      <c r="F120" s="158"/>
      <c r="G120" s="157"/>
      <c r="H120" s="152"/>
      <c r="I120" s="152"/>
      <c r="J120" s="93"/>
      <c r="K120" s="93"/>
      <c r="L120" s="93"/>
      <c r="M120" s="93"/>
      <c r="N120" s="93"/>
      <c r="O120" s="93"/>
      <c r="P120" s="93"/>
      <c r="Q120" s="93"/>
      <c r="R120" s="93"/>
    </row>
    <row r="121" spans="2:18" s="74" customFormat="1" ht="24.95" customHeight="1">
      <c r="B121" s="155"/>
      <c r="C121" s="92"/>
      <c r="D121" s="92"/>
      <c r="E121" s="152"/>
      <c r="F121" s="158"/>
      <c r="G121" s="157"/>
      <c r="H121" s="152"/>
      <c r="I121" s="152"/>
      <c r="J121" s="93"/>
      <c r="K121" s="93"/>
      <c r="L121" s="93"/>
      <c r="M121" s="93"/>
      <c r="N121" s="93"/>
      <c r="O121" s="93"/>
      <c r="P121" s="93"/>
      <c r="Q121" s="93"/>
      <c r="R121" s="93"/>
    </row>
    <row r="122" spans="2:18" s="74" customFormat="1" ht="24.95" customHeight="1">
      <c r="B122" s="155"/>
      <c r="C122" s="92"/>
      <c r="D122" s="92"/>
      <c r="E122" s="152"/>
      <c r="F122" s="158"/>
      <c r="G122" s="157"/>
      <c r="H122" s="152"/>
      <c r="I122" s="152"/>
      <c r="J122" s="93"/>
      <c r="K122" s="93"/>
      <c r="L122" s="93"/>
      <c r="M122" s="93"/>
      <c r="N122" s="93"/>
      <c r="O122" s="93"/>
      <c r="P122" s="93"/>
      <c r="Q122" s="93"/>
      <c r="R122" s="93"/>
    </row>
    <row r="123" spans="2:18" s="74" customFormat="1" ht="24.95" customHeight="1">
      <c r="B123" s="155"/>
      <c r="C123" s="92"/>
      <c r="D123" s="92"/>
      <c r="E123" s="152"/>
      <c r="F123" s="158"/>
      <c r="G123" s="157"/>
      <c r="H123" s="152"/>
      <c r="I123" s="152"/>
      <c r="J123" s="93"/>
      <c r="K123" s="93"/>
      <c r="L123" s="93"/>
      <c r="M123" s="93"/>
      <c r="N123" s="93"/>
      <c r="O123" s="93"/>
      <c r="P123" s="93"/>
      <c r="Q123" s="93"/>
      <c r="R123" s="93"/>
    </row>
    <row r="124" spans="2:18" s="74" customFormat="1" ht="24.95" customHeight="1">
      <c r="B124" s="155"/>
      <c r="C124" s="92"/>
      <c r="D124" s="92"/>
      <c r="E124" s="152"/>
      <c r="F124" s="158"/>
      <c r="G124" s="157"/>
      <c r="H124" s="152"/>
      <c r="I124" s="152"/>
      <c r="J124" s="93"/>
      <c r="K124" s="93"/>
      <c r="L124" s="93"/>
      <c r="M124" s="93"/>
      <c r="N124" s="93"/>
      <c r="O124" s="93"/>
      <c r="P124" s="93"/>
      <c r="Q124" s="93"/>
      <c r="R124" s="93"/>
    </row>
    <row r="125" spans="2:18" s="74" customFormat="1" ht="24.95" customHeight="1">
      <c r="B125" s="155"/>
      <c r="C125" s="92"/>
      <c r="D125" s="92"/>
      <c r="E125" s="152"/>
      <c r="F125" s="158"/>
      <c r="G125" s="157"/>
      <c r="H125" s="152"/>
      <c r="I125" s="152"/>
      <c r="J125" s="93"/>
      <c r="K125" s="93"/>
      <c r="L125" s="93"/>
      <c r="M125" s="93"/>
      <c r="N125" s="93"/>
      <c r="O125" s="93"/>
      <c r="P125" s="93"/>
      <c r="Q125" s="93"/>
      <c r="R125" s="93"/>
    </row>
    <row r="126" spans="2:18" s="74" customFormat="1" ht="24.95" customHeight="1">
      <c r="B126" s="155"/>
      <c r="C126" s="92"/>
      <c r="D126" s="92"/>
      <c r="E126" s="152"/>
      <c r="F126" s="158"/>
      <c r="G126" s="157"/>
      <c r="H126" s="152"/>
      <c r="I126" s="152"/>
      <c r="J126" s="93"/>
      <c r="K126" s="93"/>
      <c r="L126" s="93"/>
      <c r="M126" s="93"/>
      <c r="N126" s="93"/>
      <c r="O126" s="93"/>
      <c r="P126" s="93"/>
      <c r="Q126" s="93"/>
      <c r="R126" s="93"/>
    </row>
    <row r="127" spans="2:18" s="74" customFormat="1" ht="24.95" customHeight="1">
      <c r="B127" s="155"/>
      <c r="C127" s="92"/>
      <c r="D127" s="92"/>
      <c r="E127" s="152"/>
      <c r="F127" s="158"/>
      <c r="G127" s="157"/>
      <c r="H127" s="152"/>
      <c r="I127" s="152"/>
      <c r="J127" s="93"/>
      <c r="K127" s="93"/>
      <c r="L127" s="93"/>
      <c r="M127" s="93"/>
      <c r="N127" s="93"/>
      <c r="O127" s="93"/>
      <c r="P127" s="93"/>
      <c r="Q127" s="93"/>
      <c r="R127" s="93"/>
    </row>
    <row r="128" spans="2:18" s="74" customFormat="1" ht="24.95" customHeight="1">
      <c r="B128" s="155"/>
      <c r="C128" s="92"/>
      <c r="D128" s="92"/>
      <c r="E128" s="152"/>
      <c r="F128" s="158"/>
      <c r="G128" s="157"/>
      <c r="H128" s="152"/>
      <c r="I128" s="152"/>
      <c r="J128" s="93"/>
      <c r="K128" s="93"/>
      <c r="L128" s="93"/>
      <c r="M128" s="93"/>
      <c r="N128" s="93"/>
      <c r="O128" s="93"/>
      <c r="P128" s="93"/>
      <c r="Q128" s="93"/>
      <c r="R128" s="93"/>
    </row>
    <row r="129" spans="2:18" s="74" customFormat="1" ht="24.95" customHeight="1">
      <c r="B129" s="155"/>
      <c r="C129" s="92"/>
      <c r="D129" s="92"/>
      <c r="E129" s="152"/>
      <c r="F129" s="158"/>
      <c r="G129" s="157"/>
      <c r="H129" s="152"/>
      <c r="I129" s="152"/>
      <c r="J129" s="93"/>
      <c r="K129" s="93"/>
      <c r="L129" s="93"/>
      <c r="M129" s="93"/>
      <c r="N129" s="93"/>
      <c r="O129" s="93"/>
      <c r="P129" s="93"/>
      <c r="Q129" s="93"/>
      <c r="R129" s="93"/>
    </row>
    <row r="130" spans="2:18" s="74" customFormat="1" ht="24.95" customHeight="1">
      <c r="B130" s="155"/>
      <c r="C130" s="92"/>
      <c r="D130" s="92"/>
      <c r="E130" s="152"/>
      <c r="F130" s="158"/>
      <c r="G130" s="157"/>
      <c r="H130" s="152"/>
      <c r="I130" s="152"/>
      <c r="J130" s="93"/>
      <c r="K130" s="93"/>
      <c r="L130" s="93"/>
      <c r="M130" s="93"/>
      <c r="N130" s="93"/>
      <c r="O130" s="93"/>
      <c r="P130" s="93"/>
      <c r="Q130" s="93"/>
      <c r="R130" s="93"/>
    </row>
    <row r="131" spans="2:18" s="74" customFormat="1" ht="24.95" customHeight="1">
      <c r="B131" s="155"/>
      <c r="C131" s="92"/>
      <c r="D131" s="92"/>
      <c r="E131" s="152"/>
      <c r="F131" s="158"/>
      <c r="G131" s="157"/>
      <c r="H131" s="152"/>
      <c r="I131" s="152"/>
      <c r="J131" s="93"/>
      <c r="K131" s="93"/>
      <c r="L131" s="93"/>
      <c r="M131" s="93"/>
      <c r="N131" s="93"/>
      <c r="O131" s="93"/>
      <c r="P131" s="93"/>
      <c r="Q131" s="93"/>
      <c r="R131" s="93"/>
    </row>
    <row r="132" spans="2:18" s="74" customFormat="1" ht="24.95" customHeight="1">
      <c r="B132" s="155"/>
      <c r="C132" s="92"/>
      <c r="D132" s="92"/>
      <c r="E132" s="152"/>
      <c r="F132" s="158"/>
      <c r="G132" s="157"/>
      <c r="H132" s="152"/>
      <c r="I132" s="152"/>
      <c r="J132" s="93"/>
      <c r="K132" s="93"/>
      <c r="L132" s="93"/>
      <c r="M132" s="93"/>
      <c r="N132" s="93"/>
      <c r="O132" s="93"/>
      <c r="P132" s="93"/>
      <c r="Q132" s="93"/>
      <c r="R132" s="93"/>
    </row>
    <row r="133" spans="2:18" s="74" customFormat="1" ht="24.95" customHeight="1">
      <c r="B133" s="159"/>
      <c r="C133" s="92"/>
      <c r="D133" s="92"/>
      <c r="E133" s="92"/>
      <c r="F133" s="158"/>
      <c r="G133" s="157"/>
      <c r="H133" s="152"/>
      <c r="I133" s="152"/>
      <c r="J133" s="93"/>
      <c r="K133" s="93"/>
      <c r="L133" s="93"/>
      <c r="M133" s="93"/>
      <c r="N133" s="93"/>
      <c r="O133" s="93"/>
      <c r="P133" s="93"/>
      <c r="Q133" s="93"/>
      <c r="R133" s="93"/>
    </row>
    <row r="134" spans="2:18" s="74" customFormat="1" ht="24.95" customHeight="1">
      <c r="B134" s="159"/>
      <c r="C134" s="92"/>
      <c r="D134" s="92"/>
      <c r="E134" s="92"/>
      <c r="F134" s="158"/>
      <c r="G134" s="157"/>
      <c r="H134" s="152"/>
      <c r="I134" s="152"/>
      <c r="J134" s="93"/>
      <c r="K134" s="93"/>
      <c r="L134" s="93"/>
      <c r="M134" s="93"/>
      <c r="N134" s="93"/>
      <c r="O134" s="93"/>
      <c r="P134" s="93"/>
      <c r="Q134" s="93"/>
      <c r="R134" s="93"/>
    </row>
    <row r="135" spans="2:18" s="74" customFormat="1" ht="24.95" customHeight="1">
      <c r="B135" s="159"/>
      <c r="C135" s="92"/>
      <c r="D135" s="92"/>
      <c r="E135" s="92"/>
      <c r="F135" s="158"/>
      <c r="G135" s="157"/>
      <c r="H135" s="152"/>
      <c r="I135" s="152"/>
      <c r="J135" s="93"/>
      <c r="K135" s="93"/>
      <c r="L135" s="93"/>
      <c r="M135" s="93"/>
      <c r="N135" s="93"/>
      <c r="O135" s="93"/>
      <c r="P135" s="93"/>
      <c r="Q135" s="93"/>
      <c r="R135" s="93"/>
    </row>
    <row r="136" spans="2:18" s="74" customFormat="1" ht="24.95" customHeight="1">
      <c r="B136" s="159"/>
      <c r="C136" s="92"/>
      <c r="D136" s="92"/>
      <c r="E136" s="92"/>
      <c r="F136" s="158"/>
      <c r="G136" s="157"/>
      <c r="H136" s="152"/>
      <c r="I136" s="152"/>
      <c r="J136" s="93"/>
      <c r="K136" s="93"/>
      <c r="L136" s="93"/>
      <c r="M136" s="93"/>
      <c r="N136" s="93"/>
      <c r="O136" s="93"/>
      <c r="P136" s="93"/>
      <c r="Q136" s="93"/>
      <c r="R136" s="93"/>
    </row>
    <row r="137" spans="2:18" s="74" customFormat="1" ht="24.95" customHeight="1">
      <c r="B137" s="159"/>
      <c r="C137" s="92"/>
      <c r="D137" s="92"/>
      <c r="E137" s="92"/>
      <c r="F137" s="158"/>
      <c r="G137" s="157"/>
      <c r="H137" s="152"/>
      <c r="I137" s="152"/>
      <c r="J137" s="93"/>
      <c r="K137" s="93"/>
      <c r="L137" s="93"/>
      <c r="M137" s="93"/>
      <c r="N137" s="93"/>
      <c r="O137" s="93"/>
      <c r="P137" s="93"/>
      <c r="Q137" s="93"/>
      <c r="R137" s="93"/>
    </row>
    <row r="138" spans="2:18" s="74" customFormat="1" ht="24.95" customHeight="1">
      <c r="B138" s="159"/>
      <c r="C138" s="92"/>
      <c r="D138" s="92"/>
      <c r="E138" s="92"/>
      <c r="F138" s="158"/>
      <c r="G138" s="157"/>
      <c r="H138" s="152"/>
      <c r="I138" s="152"/>
      <c r="J138" s="93"/>
      <c r="K138" s="93"/>
      <c r="L138" s="93"/>
      <c r="M138" s="93"/>
      <c r="N138" s="93"/>
      <c r="O138" s="93"/>
      <c r="P138" s="93"/>
      <c r="Q138" s="93"/>
      <c r="R138" s="93"/>
    </row>
    <row r="139" spans="2:18" s="74" customFormat="1" ht="24.95" customHeight="1">
      <c r="B139" s="159"/>
      <c r="C139" s="92"/>
      <c r="D139" s="92"/>
      <c r="E139" s="92"/>
      <c r="F139" s="158"/>
      <c r="G139" s="157"/>
      <c r="H139" s="152"/>
      <c r="I139" s="152"/>
      <c r="J139" s="93"/>
      <c r="K139" s="93"/>
      <c r="L139" s="93"/>
      <c r="M139" s="93"/>
      <c r="N139" s="93"/>
      <c r="O139" s="93"/>
      <c r="P139" s="93"/>
      <c r="Q139" s="93"/>
      <c r="R139" s="93"/>
    </row>
    <row r="140" spans="2:18" s="74" customFormat="1" ht="24.95" customHeight="1">
      <c r="B140" s="159"/>
      <c r="C140" s="92"/>
      <c r="D140" s="92"/>
      <c r="E140" s="92"/>
      <c r="F140" s="158"/>
      <c r="G140" s="157"/>
      <c r="H140" s="152"/>
      <c r="I140" s="152"/>
      <c r="J140" s="93"/>
      <c r="K140" s="93"/>
      <c r="L140" s="93"/>
      <c r="M140" s="93"/>
      <c r="N140" s="93"/>
      <c r="O140" s="93"/>
      <c r="P140" s="93"/>
      <c r="Q140" s="93"/>
      <c r="R140" s="93"/>
    </row>
    <row r="141" spans="2:18" s="74" customFormat="1" ht="24.95" customHeight="1">
      <c r="B141" s="159"/>
      <c r="C141" s="92"/>
      <c r="D141" s="92"/>
      <c r="E141" s="92"/>
      <c r="F141" s="158"/>
      <c r="G141" s="157"/>
      <c r="H141" s="152"/>
      <c r="I141" s="152"/>
      <c r="J141" s="93"/>
      <c r="K141" s="93"/>
      <c r="L141" s="93"/>
      <c r="M141" s="93"/>
      <c r="N141" s="93"/>
      <c r="O141" s="93"/>
      <c r="P141" s="93"/>
      <c r="Q141" s="93"/>
      <c r="R141" s="93"/>
    </row>
    <row r="142" spans="2:18" s="74" customFormat="1" ht="24.95" customHeight="1">
      <c r="B142" s="159"/>
      <c r="C142" s="92"/>
      <c r="D142" s="92"/>
      <c r="E142" s="92"/>
      <c r="F142" s="158"/>
      <c r="G142" s="157"/>
      <c r="H142" s="152"/>
      <c r="I142" s="152"/>
      <c r="J142" s="93"/>
      <c r="K142" s="93"/>
      <c r="L142" s="93"/>
      <c r="M142" s="93"/>
      <c r="N142" s="93"/>
      <c r="O142" s="93"/>
      <c r="P142" s="93"/>
      <c r="Q142" s="93"/>
      <c r="R142" s="93"/>
    </row>
    <row r="143" spans="2:18" s="74" customFormat="1" ht="24.95" customHeight="1">
      <c r="B143" s="159"/>
      <c r="C143" s="92"/>
      <c r="D143" s="92"/>
      <c r="E143" s="92"/>
      <c r="F143" s="158"/>
      <c r="G143" s="157"/>
      <c r="H143" s="152"/>
      <c r="I143" s="152"/>
      <c r="J143" s="93"/>
      <c r="K143" s="93"/>
      <c r="L143" s="93"/>
      <c r="M143" s="93"/>
      <c r="N143" s="93"/>
      <c r="O143" s="93"/>
      <c r="P143" s="93"/>
      <c r="Q143" s="93"/>
      <c r="R143" s="93"/>
    </row>
    <row r="144" spans="2:18" s="74" customFormat="1" ht="24.95" customHeight="1">
      <c r="B144" s="159"/>
      <c r="C144" s="92"/>
      <c r="D144" s="92"/>
      <c r="E144" s="92"/>
      <c r="F144" s="158"/>
      <c r="G144" s="157"/>
      <c r="H144" s="152"/>
      <c r="I144" s="152"/>
      <c r="J144" s="93"/>
      <c r="K144" s="93"/>
      <c r="L144" s="93"/>
      <c r="M144" s="93"/>
      <c r="N144" s="93"/>
      <c r="O144" s="93"/>
      <c r="P144" s="93"/>
      <c r="Q144" s="93"/>
      <c r="R144" s="93"/>
    </row>
    <row r="145" spans="2:18" s="74" customFormat="1" ht="24.95" customHeight="1">
      <c r="B145" s="159"/>
      <c r="C145" s="92"/>
      <c r="D145" s="92"/>
      <c r="E145" s="92"/>
      <c r="F145" s="158"/>
      <c r="G145" s="157"/>
      <c r="H145" s="152"/>
      <c r="I145" s="152"/>
      <c r="J145" s="93"/>
      <c r="K145" s="93"/>
      <c r="L145" s="93"/>
      <c r="M145" s="93"/>
      <c r="N145" s="93"/>
      <c r="O145" s="93"/>
      <c r="P145" s="93"/>
      <c r="Q145" s="93"/>
      <c r="R145" s="93"/>
    </row>
    <row r="146" spans="2:18" s="74" customFormat="1" ht="24.95" customHeight="1">
      <c r="B146" s="159"/>
      <c r="C146" s="92"/>
      <c r="D146" s="92"/>
      <c r="E146" s="92"/>
      <c r="F146" s="158"/>
      <c r="G146" s="157"/>
      <c r="H146" s="152"/>
      <c r="I146" s="152"/>
      <c r="J146" s="93"/>
      <c r="K146" s="93"/>
      <c r="L146" s="93"/>
      <c r="M146" s="93"/>
      <c r="N146" s="93"/>
      <c r="O146" s="93"/>
      <c r="P146" s="93"/>
      <c r="Q146" s="93"/>
      <c r="R146" s="93"/>
    </row>
    <row r="147" spans="2:18" s="74" customFormat="1" ht="24.95" customHeight="1">
      <c r="B147" s="159"/>
      <c r="C147" s="92"/>
      <c r="D147" s="92"/>
      <c r="E147" s="92"/>
      <c r="F147" s="158"/>
      <c r="G147" s="157"/>
      <c r="H147" s="152"/>
      <c r="I147" s="152"/>
      <c r="J147" s="93"/>
      <c r="K147" s="93"/>
      <c r="L147" s="93"/>
      <c r="M147" s="93"/>
      <c r="N147" s="93"/>
      <c r="O147" s="93"/>
      <c r="P147" s="93"/>
      <c r="Q147" s="93"/>
      <c r="R147" s="93"/>
    </row>
    <row r="148" spans="2:18" s="74" customFormat="1" ht="24.95" customHeight="1">
      <c r="B148" s="159"/>
      <c r="C148" s="92"/>
      <c r="D148" s="92"/>
      <c r="E148" s="92"/>
      <c r="F148" s="158"/>
      <c r="G148" s="157"/>
      <c r="H148" s="152"/>
      <c r="I148" s="152"/>
      <c r="J148" s="93"/>
      <c r="K148" s="93"/>
      <c r="L148" s="93"/>
      <c r="M148" s="93"/>
      <c r="N148" s="93"/>
      <c r="O148" s="93"/>
      <c r="P148" s="93"/>
      <c r="Q148" s="93"/>
      <c r="R148" s="93"/>
    </row>
    <row r="149" spans="2:18" s="74" customFormat="1" ht="24.95" customHeight="1">
      <c r="B149" s="159"/>
      <c r="C149" s="92"/>
      <c r="D149" s="92"/>
      <c r="E149" s="92"/>
      <c r="F149" s="158"/>
      <c r="G149" s="157"/>
      <c r="H149" s="152"/>
      <c r="I149" s="152"/>
      <c r="J149" s="93"/>
      <c r="K149" s="93"/>
      <c r="L149" s="93"/>
      <c r="M149" s="93"/>
      <c r="N149" s="93"/>
      <c r="O149" s="93"/>
      <c r="P149" s="93"/>
      <c r="Q149" s="93"/>
      <c r="R149" s="93"/>
    </row>
    <row r="150" spans="2:18" s="74" customFormat="1" ht="24.95" customHeight="1">
      <c r="B150" s="159"/>
      <c r="C150" s="92"/>
      <c r="D150" s="92"/>
      <c r="E150" s="92"/>
      <c r="F150" s="158"/>
      <c r="G150" s="157"/>
      <c r="H150" s="152"/>
      <c r="I150" s="152"/>
      <c r="J150" s="93"/>
      <c r="K150" s="93"/>
      <c r="L150" s="93"/>
      <c r="M150" s="93"/>
      <c r="N150" s="93"/>
      <c r="O150" s="93"/>
      <c r="P150" s="93"/>
      <c r="Q150" s="93"/>
      <c r="R150" s="93"/>
    </row>
  </sheetData>
  <mergeCells count="12">
    <mergeCell ref="B49:E49"/>
    <mergeCell ref="B50:E50"/>
    <mergeCell ref="B44:E44"/>
    <mergeCell ref="B45:E45"/>
    <mergeCell ref="B46:E46"/>
    <mergeCell ref="B47:E47"/>
    <mergeCell ref="B48:E48"/>
    <mergeCell ref="B36:E36"/>
    <mergeCell ref="B40:E40"/>
    <mergeCell ref="B41:E41"/>
    <mergeCell ref="B42:E42"/>
    <mergeCell ref="B43:E43"/>
  </mergeCells>
  <conditionalFormatting sqref="C3">
    <cfRule type="cellIs" dxfId="36" priority="4" stopIfTrue="1" operator="greaterThanOrEqual">
      <formula>85</formula>
    </cfRule>
    <cfRule type="cellIs" dxfId="35" priority="5" stopIfTrue="1" operator="lessThan">
      <formula>85</formula>
    </cfRule>
  </conditionalFormatting>
  <conditionalFormatting sqref="C37:E39">
    <cfRule type="cellIs" dxfId="34" priority="1" stopIfTrue="1" operator="equal">
      <formula>"לא בוצע"</formula>
    </cfRule>
    <cfRule type="cellIs" dxfId="33" priority="2" stopIfTrue="1" operator="equal">
      <formula>"בוצע"</formula>
    </cfRule>
    <cfRule type="cellIs" dxfId="32" priority="3" stopIfTrue="1" operator="equal">
      <formula>"לא רלוונטי"</formula>
    </cfRule>
  </conditionalFormatting>
  <dataValidations count="2">
    <dataValidation type="list" allowBlank="1" showInputMessage="1" showErrorMessage="1" sqref="C11:E13 C20:E23 C25:E30 C15:E18" xr:uid="{00000000-0002-0000-0200-000000000000}">
      <formula1>$G$3:$G$5</formula1>
    </dataValidation>
    <dataValidation type="list" allowBlank="1" showInputMessage="1" showErrorMessage="1" sqref="C37:E39" xr:uid="{00000000-0002-0000-0200-000001000000}">
      <formula1>$G$4:$G$6</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1"/>
  <sheetViews>
    <sheetView rightToLeft="1" zoomScale="69" zoomScaleNormal="69" workbookViewId="0">
      <selection activeCell="B3" sqref="B3"/>
    </sheetView>
  </sheetViews>
  <sheetFormatPr defaultColWidth="21.375" defaultRowHeight="24.95" customHeight="1"/>
  <cols>
    <col min="1" max="1" width="12.125" customWidth="1"/>
    <col min="2" max="2" width="84.375" style="159" customWidth="1"/>
    <col min="3" max="3" width="24.375" style="92" customWidth="1"/>
    <col min="4" max="4" width="32.375" style="92" bestFit="1" customWidth="1"/>
    <col min="5" max="5" width="26.375" style="92" bestFit="1" customWidth="1"/>
    <col min="6" max="6" width="21.375" style="158" customWidth="1"/>
    <col min="7" max="7" width="21.375" style="157" customWidth="1"/>
    <col min="8" max="9" width="21.375" style="152" customWidth="1"/>
    <col min="10" max="18" width="21.375" style="93" customWidth="1"/>
    <col min="19" max="22" width="21.375" style="74" customWidth="1"/>
  </cols>
  <sheetData>
    <row r="1" spans="2:30" ht="24.95" customHeight="1">
      <c r="B1" s="88" t="s">
        <v>86</v>
      </c>
      <c r="C1" s="89"/>
      <c r="D1" s="89"/>
      <c r="E1" s="89"/>
      <c r="F1" s="90"/>
      <c r="G1" s="91"/>
      <c r="H1" s="92"/>
      <c r="I1" s="92"/>
      <c r="R1" s="94"/>
      <c r="S1" s="95"/>
      <c r="T1"/>
      <c r="U1"/>
      <c r="V1"/>
    </row>
    <row r="2" spans="2:30" ht="24.95" customHeight="1">
      <c r="B2" s="96"/>
      <c r="C2" s="89"/>
      <c r="D2" s="89"/>
      <c r="E2" s="89"/>
      <c r="F2" s="89"/>
      <c r="G2" s="97"/>
      <c r="H2" s="97" t="s">
        <v>87</v>
      </c>
      <c r="I2" s="97"/>
      <c r="J2" s="98"/>
      <c r="R2" s="94"/>
      <c r="S2" s="95"/>
      <c r="T2"/>
      <c r="U2"/>
      <c r="V2"/>
    </row>
    <row r="3" spans="2:30" ht="24.95" customHeight="1">
      <c r="B3" s="99" t="s">
        <v>0</v>
      </c>
      <c r="C3" s="100">
        <f>AVERAGE(C9:E9)</f>
        <v>89.333333333333357</v>
      </c>
      <c r="D3" s="101" t="s">
        <v>1</v>
      </c>
      <c r="E3" s="102" t="s">
        <v>2</v>
      </c>
      <c r="F3" s="102"/>
      <c r="G3" s="97" t="s">
        <v>3</v>
      </c>
      <c r="H3" s="103">
        <f>COUNTIF($C$11:$E$28,"בוצע")+SUM(G10:G17)</f>
        <v>38</v>
      </c>
      <c r="I3" s="97" t="s">
        <v>88</v>
      </c>
      <c r="J3" s="98"/>
      <c r="R3" s="94"/>
      <c r="S3" s="95"/>
      <c r="T3"/>
      <c r="U3"/>
      <c r="V3"/>
    </row>
    <row r="4" spans="2:30" ht="24.95" customHeight="1">
      <c r="B4" s="99"/>
      <c r="C4" s="100"/>
      <c r="D4" s="161" t="s">
        <v>125</v>
      </c>
      <c r="E4" s="161" t="s">
        <v>127</v>
      </c>
      <c r="F4" s="160"/>
      <c r="G4" s="97" t="s">
        <v>4</v>
      </c>
      <c r="H4" s="103">
        <f>COUNTIF($C$11:$E$28,"לא בוצע")+SUM(G10:G17)</f>
        <v>7</v>
      </c>
      <c r="I4" s="97" t="s">
        <v>89</v>
      </c>
      <c r="J4" s="98"/>
      <c r="R4" s="94"/>
      <c r="S4" s="95"/>
      <c r="T4"/>
      <c r="U4"/>
      <c r="V4"/>
    </row>
    <row r="5" spans="2:30" ht="24.95" customHeight="1">
      <c r="B5" s="102" t="s">
        <v>90</v>
      </c>
      <c r="C5" s="102"/>
      <c r="D5" s="102"/>
      <c r="E5" s="102"/>
      <c r="F5" s="104" t="s">
        <v>6</v>
      </c>
      <c r="G5" s="97" t="s">
        <v>7</v>
      </c>
      <c r="H5" s="103">
        <f>COUNTIF($C$11:$E$28,"לא רלוונטי")+SUM(O12:O28)</f>
        <v>0.74000000000000021</v>
      </c>
      <c r="I5" s="97"/>
      <c r="J5" s="98"/>
      <c r="R5" s="94"/>
      <c r="S5" s="95"/>
      <c r="T5"/>
      <c r="U5"/>
      <c r="V5"/>
    </row>
    <row r="6" spans="2:30" ht="24.95" customHeight="1">
      <c r="B6" s="160" t="s">
        <v>8</v>
      </c>
      <c r="C6" s="160">
        <v>524617766</v>
      </c>
      <c r="D6" s="160">
        <v>525312202</v>
      </c>
      <c r="E6" s="160">
        <v>732131657</v>
      </c>
      <c r="F6" s="105"/>
      <c r="G6" s="91"/>
      <c r="H6" s="92"/>
      <c r="I6" s="106"/>
      <c r="J6" s="98"/>
      <c r="R6" s="94"/>
      <c r="S6" s="95"/>
      <c r="T6"/>
      <c r="U6"/>
      <c r="V6"/>
    </row>
    <row r="7" spans="2:30" ht="24.95" customHeight="1">
      <c r="B7" s="160" t="s">
        <v>9</v>
      </c>
      <c r="C7" s="160"/>
      <c r="D7" s="160"/>
      <c r="E7" s="160"/>
      <c r="F7" s="105"/>
      <c r="G7" s="91"/>
      <c r="H7" s="92"/>
      <c r="I7" s="106"/>
      <c r="J7" s="98"/>
      <c r="R7" s="94"/>
      <c r="S7" s="95"/>
      <c r="T7"/>
      <c r="U7"/>
      <c r="V7"/>
    </row>
    <row r="8" spans="2:30" ht="24.95" customHeight="1">
      <c r="B8" s="160" t="s">
        <v>10</v>
      </c>
      <c r="C8" s="160"/>
      <c r="D8" s="160"/>
      <c r="E8" s="160"/>
      <c r="F8" s="108">
        <f>SUM(F11:F28)</f>
        <v>0.90000000000000036</v>
      </c>
      <c r="G8" s="109"/>
      <c r="H8" s="110"/>
      <c r="I8" s="110"/>
      <c r="J8" s="111"/>
      <c r="L8" s="112" t="s">
        <v>7</v>
      </c>
      <c r="M8" s="112" t="s">
        <v>3</v>
      </c>
      <c r="N8" s="112" t="s">
        <v>7</v>
      </c>
      <c r="O8" s="112" t="s">
        <v>3</v>
      </c>
      <c r="P8" s="112" t="s">
        <v>7</v>
      </c>
      <c r="Q8" s="112" t="s">
        <v>3</v>
      </c>
      <c r="R8" s="94"/>
      <c r="S8" s="95"/>
      <c r="T8"/>
      <c r="U8"/>
      <c r="V8"/>
    </row>
    <row r="9" spans="2:30" s="113" customFormat="1" ht="24.95" customHeight="1">
      <c r="B9" s="160" t="s">
        <v>11</v>
      </c>
      <c r="C9" s="160">
        <f>M31</f>
        <v>84.000000000000028</v>
      </c>
      <c r="D9" s="160">
        <f>O31</f>
        <v>84.000000000000028</v>
      </c>
      <c r="E9" s="160">
        <f>Q31</f>
        <v>100</v>
      </c>
      <c r="F9" s="114"/>
      <c r="G9" s="115"/>
      <c r="H9" s="115"/>
      <c r="I9" s="116"/>
      <c r="J9" s="117"/>
      <c r="K9" s="118"/>
      <c r="L9" s="119"/>
      <c r="M9" s="119"/>
      <c r="N9" s="119"/>
      <c r="O9" s="119"/>
      <c r="P9" s="119"/>
      <c r="Q9" s="120"/>
      <c r="R9" s="94"/>
      <c r="S9" s="95"/>
      <c r="T9"/>
      <c r="U9"/>
      <c r="V9"/>
      <c r="W9"/>
      <c r="X9"/>
      <c r="Y9"/>
      <c r="Z9"/>
      <c r="AA9"/>
      <c r="AB9"/>
      <c r="AC9"/>
      <c r="AD9"/>
    </row>
    <row r="10" spans="2:30" ht="24.95" customHeight="1">
      <c r="B10" s="121" t="s">
        <v>91</v>
      </c>
      <c r="C10" s="121"/>
      <c r="D10" s="121"/>
      <c r="E10" s="121"/>
      <c r="F10" s="122"/>
      <c r="G10" s="123"/>
      <c r="H10" s="123"/>
      <c r="I10" s="123"/>
      <c r="L10" s="124">
        <f>SUM(L11:L30)</f>
        <v>0.05</v>
      </c>
      <c r="M10" s="124">
        <f>SUM(M11:M30)</f>
        <v>0.8400000000000003</v>
      </c>
      <c r="N10" s="124">
        <f>SUM(N11:N30)</f>
        <v>0</v>
      </c>
      <c r="O10" s="124">
        <f>SUM(O11:O30)</f>
        <v>0.8400000000000003</v>
      </c>
      <c r="P10" s="124">
        <f>SUM(P11:P30)</f>
        <v>0</v>
      </c>
      <c r="Q10" s="124">
        <v>1</v>
      </c>
      <c r="R10" s="125"/>
      <c r="S10" s="126"/>
      <c r="T10"/>
      <c r="U10"/>
      <c r="V10"/>
    </row>
    <row r="11" spans="2:30" ht="24.95" customHeight="1">
      <c r="B11" s="160" t="s">
        <v>92</v>
      </c>
      <c r="C11" s="160" t="s">
        <v>3</v>
      </c>
      <c r="D11" s="160" t="s">
        <v>3</v>
      </c>
      <c r="E11" s="160" t="s">
        <v>3</v>
      </c>
      <c r="F11" s="127">
        <v>0.05</v>
      </c>
      <c r="G11" s="123"/>
      <c r="H11" s="123"/>
      <c r="I11" s="128">
        <f>F11</f>
        <v>0.05</v>
      </c>
      <c r="L11" s="129">
        <f>IF((C11=$G$5)+OR(C11=""),$I11,0)</f>
        <v>0</v>
      </c>
      <c r="M11" s="124">
        <f>IF(C11=$G$3,$I11,0)</f>
        <v>0.05</v>
      </c>
      <c r="N11" s="129">
        <f t="shared" ref="N11:N18" si="0">IF((D11=$G$5)+OR(D11=""),$I11,0)</f>
        <v>0</v>
      </c>
      <c r="O11" s="124">
        <f t="shared" ref="O11:O18" si="1">IF(D11=$G$3,$I11,0)</f>
        <v>0.05</v>
      </c>
      <c r="P11" s="129">
        <f>IF((E11=$G$5)+OR(E11=""),$I11,0)</f>
        <v>0</v>
      </c>
      <c r="Q11" s="124">
        <f>IF(E11=$G$3,$I11,0)</f>
        <v>0.05</v>
      </c>
      <c r="R11" s="125"/>
      <c r="S11" s="126"/>
      <c r="T11"/>
      <c r="U11"/>
      <c r="V11"/>
    </row>
    <row r="12" spans="2:30" ht="24.95" customHeight="1">
      <c r="B12" s="160" t="s">
        <v>93</v>
      </c>
      <c r="C12" s="160" t="s">
        <v>3</v>
      </c>
      <c r="D12" s="160" t="s">
        <v>3</v>
      </c>
      <c r="E12" s="160" t="s">
        <v>4</v>
      </c>
      <c r="F12" s="127">
        <v>0.05</v>
      </c>
      <c r="G12" s="123"/>
      <c r="H12" s="123"/>
      <c r="I12" s="128">
        <f>F12</f>
        <v>0.05</v>
      </c>
      <c r="L12" s="129">
        <f t="shared" ref="L12:L30" si="2">IF((C12=$G$5)+OR(C12=""),$I12,0)</f>
        <v>0</v>
      </c>
      <c r="M12" s="124">
        <f t="shared" ref="M12:M18" si="3">IF(C12=$G$3,$I12,0)</f>
        <v>0.05</v>
      </c>
      <c r="N12" s="129">
        <f t="shared" si="0"/>
        <v>0</v>
      </c>
      <c r="O12" s="124">
        <f t="shared" si="1"/>
        <v>0.05</v>
      </c>
      <c r="P12" s="129">
        <f t="shared" ref="P12:P23" si="4">IF((E12=$G$5)+OR(E12=""),$I12,0)</f>
        <v>0</v>
      </c>
      <c r="Q12" s="124">
        <f t="shared" ref="Q12:Q23" si="5">IF(E12=$G$3,$I12,0)</f>
        <v>0</v>
      </c>
      <c r="R12" s="125"/>
      <c r="S12" s="126"/>
      <c r="T12"/>
      <c r="U12"/>
      <c r="V12"/>
    </row>
    <row r="13" spans="2:30" ht="24.95" customHeight="1">
      <c r="B13" s="160" t="s">
        <v>94</v>
      </c>
      <c r="C13" s="160" t="s">
        <v>3</v>
      </c>
      <c r="D13" s="160" t="s">
        <v>3</v>
      </c>
      <c r="E13" s="160" t="s">
        <v>3</v>
      </c>
      <c r="F13" s="107">
        <v>0.06</v>
      </c>
      <c r="G13" s="123"/>
      <c r="H13" s="123"/>
      <c r="I13" s="128">
        <f>F13</f>
        <v>0.06</v>
      </c>
      <c r="L13" s="129">
        <f t="shared" si="2"/>
        <v>0</v>
      </c>
      <c r="M13" s="124">
        <f>IF(C13=$G$3,$I13,0)</f>
        <v>0.06</v>
      </c>
      <c r="N13" s="129">
        <f>IF((D13=$G$5)+OR(D13=""),$I13,0)</f>
        <v>0</v>
      </c>
      <c r="O13" s="124">
        <f>IF(D13=$G$3,$I13,0)</f>
        <v>0.06</v>
      </c>
      <c r="P13" s="129">
        <f>IF((E13=$G$5)+OR(E13=""),$I13,0)</f>
        <v>0</v>
      </c>
      <c r="Q13" s="124">
        <f>IF(E13=$G$3,$I13,0)</f>
        <v>0.06</v>
      </c>
      <c r="R13" s="125"/>
      <c r="S13" s="126"/>
      <c r="T13"/>
      <c r="U13"/>
      <c r="V13"/>
    </row>
    <row r="14" spans="2:30" ht="24.95" customHeight="1">
      <c r="B14" s="130" t="s">
        <v>95</v>
      </c>
      <c r="C14" s="121"/>
      <c r="D14" s="121"/>
      <c r="E14" s="121"/>
      <c r="F14" s="101"/>
      <c r="G14" s="123"/>
      <c r="H14" s="123"/>
      <c r="I14" s="128">
        <f t="shared" ref="I14:I30" si="6">F14</f>
        <v>0</v>
      </c>
      <c r="L14" s="129">
        <f>IF((C14=$G$5)+OR(C14=""),$I14,0)</f>
        <v>0</v>
      </c>
      <c r="M14" s="124">
        <f t="shared" si="3"/>
        <v>0</v>
      </c>
      <c r="N14" s="129">
        <f t="shared" si="0"/>
        <v>0</v>
      </c>
      <c r="O14" s="124">
        <f t="shared" si="1"/>
        <v>0</v>
      </c>
      <c r="P14" s="129">
        <f t="shared" si="4"/>
        <v>0</v>
      </c>
      <c r="Q14" s="124">
        <f t="shared" si="5"/>
        <v>0</v>
      </c>
      <c r="R14" s="125"/>
      <c r="S14" s="126"/>
      <c r="T14"/>
      <c r="U14"/>
      <c r="V14"/>
    </row>
    <row r="15" spans="2:30" ht="24.95" customHeight="1">
      <c r="B15" s="160" t="s">
        <v>96</v>
      </c>
      <c r="C15" s="160" t="s">
        <v>3</v>
      </c>
      <c r="D15" s="160" t="s">
        <v>3</v>
      </c>
      <c r="E15" s="160" t="s">
        <v>3</v>
      </c>
      <c r="F15" s="103">
        <v>0.05</v>
      </c>
      <c r="G15" s="123"/>
      <c r="H15" s="131"/>
      <c r="I15" s="128">
        <f>F15</f>
        <v>0.05</v>
      </c>
      <c r="L15" s="129">
        <f t="shared" si="2"/>
        <v>0</v>
      </c>
      <c r="M15" s="124">
        <f t="shared" si="3"/>
        <v>0.05</v>
      </c>
      <c r="N15" s="129">
        <f t="shared" si="0"/>
        <v>0</v>
      </c>
      <c r="O15" s="124">
        <f t="shared" si="1"/>
        <v>0.05</v>
      </c>
      <c r="P15" s="129">
        <f t="shared" si="4"/>
        <v>0</v>
      </c>
      <c r="Q15" s="124">
        <f t="shared" si="5"/>
        <v>0.05</v>
      </c>
      <c r="R15" s="125"/>
      <c r="S15" s="126"/>
      <c r="T15"/>
      <c r="U15"/>
      <c r="V15"/>
    </row>
    <row r="16" spans="2:30" ht="24.95" customHeight="1">
      <c r="B16" s="160" t="s">
        <v>97</v>
      </c>
      <c r="C16" s="160" t="s">
        <v>3</v>
      </c>
      <c r="D16" s="160" t="s">
        <v>3</v>
      </c>
      <c r="E16" s="160" t="s">
        <v>3</v>
      </c>
      <c r="F16" s="127">
        <v>0.05</v>
      </c>
      <c r="G16" s="123"/>
      <c r="H16" s="131"/>
      <c r="I16" s="128">
        <f t="shared" si="6"/>
        <v>0.05</v>
      </c>
      <c r="L16" s="129">
        <f t="shared" si="2"/>
        <v>0</v>
      </c>
      <c r="M16" s="124">
        <f t="shared" si="3"/>
        <v>0.05</v>
      </c>
      <c r="N16" s="129">
        <f t="shared" si="0"/>
        <v>0</v>
      </c>
      <c r="O16" s="124">
        <f t="shared" si="1"/>
        <v>0.05</v>
      </c>
      <c r="P16" s="129">
        <f t="shared" si="4"/>
        <v>0</v>
      </c>
      <c r="Q16" s="124">
        <f t="shared" si="5"/>
        <v>0.05</v>
      </c>
      <c r="R16" s="125"/>
      <c r="S16" s="126"/>
      <c r="T16"/>
      <c r="U16"/>
      <c r="V16"/>
    </row>
    <row r="17" spans="1:22" s="74" customFormat="1" ht="24.95" customHeight="1">
      <c r="B17" s="160" t="s">
        <v>98</v>
      </c>
      <c r="C17" s="160" t="s">
        <v>3</v>
      </c>
      <c r="D17" s="160" t="s">
        <v>3</v>
      </c>
      <c r="E17" s="160" t="s">
        <v>3</v>
      </c>
      <c r="F17" s="132">
        <v>7.0000000000000007E-2</v>
      </c>
      <c r="G17" s="123"/>
      <c r="H17" s="123"/>
      <c r="I17" s="128">
        <f t="shared" si="6"/>
        <v>7.0000000000000007E-2</v>
      </c>
      <c r="J17" s="93"/>
      <c r="K17" s="93"/>
      <c r="L17" s="129">
        <f t="shared" si="2"/>
        <v>0</v>
      </c>
      <c r="M17" s="124">
        <f t="shared" si="3"/>
        <v>7.0000000000000007E-2</v>
      </c>
      <c r="N17" s="129">
        <f t="shared" si="0"/>
        <v>0</v>
      </c>
      <c r="O17" s="124">
        <f t="shared" si="1"/>
        <v>7.0000000000000007E-2</v>
      </c>
      <c r="P17" s="129">
        <f t="shared" si="4"/>
        <v>0</v>
      </c>
      <c r="Q17" s="124">
        <f t="shared" si="5"/>
        <v>7.0000000000000007E-2</v>
      </c>
      <c r="R17" s="125"/>
      <c r="S17" s="126"/>
    </row>
    <row r="18" spans="1:22" ht="36.6" customHeight="1">
      <c r="B18" s="160" t="s">
        <v>99</v>
      </c>
      <c r="C18" s="160" t="s">
        <v>3</v>
      </c>
      <c r="D18" s="160" t="s">
        <v>3</v>
      </c>
      <c r="E18" s="160" t="s">
        <v>3</v>
      </c>
      <c r="F18" s="103">
        <v>7.0000000000000007E-2</v>
      </c>
      <c r="G18" s="123"/>
      <c r="H18" s="123"/>
      <c r="I18" s="128">
        <f t="shared" si="6"/>
        <v>7.0000000000000007E-2</v>
      </c>
      <c r="L18" s="129">
        <f t="shared" si="2"/>
        <v>0</v>
      </c>
      <c r="M18" s="124">
        <f t="shared" si="3"/>
        <v>7.0000000000000007E-2</v>
      </c>
      <c r="N18" s="129">
        <f t="shared" si="0"/>
        <v>0</v>
      </c>
      <c r="O18" s="124">
        <f t="shared" si="1"/>
        <v>7.0000000000000007E-2</v>
      </c>
      <c r="P18" s="129">
        <f t="shared" si="4"/>
        <v>0</v>
      </c>
      <c r="Q18" s="124">
        <f t="shared" si="5"/>
        <v>7.0000000000000007E-2</v>
      </c>
      <c r="R18" s="125"/>
      <c r="S18" s="126"/>
      <c r="T18"/>
      <c r="U18"/>
      <c r="V18"/>
    </row>
    <row r="19" spans="1:22" ht="24.95" customHeight="1">
      <c r="A19" t="s">
        <v>100</v>
      </c>
      <c r="B19" s="133" t="s">
        <v>101</v>
      </c>
      <c r="C19" s="102"/>
      <c r="D19" s="102"/>
      <c r="E19" s="102"/>
      <c r="F19" s="134"/>
      <c r="G19" s="135"/>
      <c r="H19" s="136"/>
      <c r="I19" s="128">
        <f t="shared" si="6"/>
        <v>0</v>
      </c>
      <c r="L19" s="129">
        <f t="shared" si="2"/>
        <v>0</v>
      </c>
      <c r="M19" s="98"/>
      <c r="O19" s="98"/>
      <c r="Q19" s="98"/>
      <c r="R19" s="125"/>
      <c r="S19" s="126"/>
      <c r="T19"/>
      <c r="U19"/>
      <c r="V19"/>
    </row>
    <row r="20" spans="1:22" ht="24.95" customHeight="1">
      <c r="B20" s="160" t="s">
        <v>102</v>
      </c>
      <c r="C20" s="160" t="s">
        <v>3</v>
      </c>
      <c r="D20" s="160" t="s">
        <v>3</v>
      </c>
      <c r="E20" s="160" t="s">
        <v>3</v>
      </c>
      <c r="F20" s="127">
        <v>0.06</v>
      </c>
      <c r="G20" s="135"/>
      <c r="H20" s="136"/>
      <c r="I20" s="128">
        <f t="shared" si="6"/>
        <v>0.06</v>
      </c>
      <c r="L20" s="129">
        <f t="shared" si="2"/>
        <v>0</v>
      </c>
      <c r="M20" s="124">
        <f>IF(C20=$G$3,$I20,0)</f>
        <v>0.06</v>
      </c>
      <c r="N20" s="129">
        <f>IF((D20=$G$5)+OR(D20=""),$I20,0)</f>
        <v>0</v>
      </c>
      <c r="O20" s="124">
        <f>IF(D20=$G$3,$I20,0)</f>
        <v>0.06</v>
      </c>
      <c r="P20" s="129">
        <f t="shared" si="4"/>
        <v>0</v>
      </c>
      <c r="Q20" s="124">
        <f t="shared" si="5"/>
        <v>0.06</v>
      </c>
      <c r="R20" s="125"/>
      <c r="S20" s="126"/>
      <c r="T20"/>
      <c r="U20"/>
      <c r="V20"/>
    </row>
    <row r="21" spans="1:22" ht="30.6" customHeight="1">
      <c r="B21" s="160" t="s">
        <v>37</v>
      </c>
      <c r="C21" s="160" t="s">
        <v>3</v>
      </c>
      <c r="D21" s="160" t="s">
        <v>3</v>
      </c>
      <c r="E21" s="160" t="s">
        <v>4</v>
      </c>
      <c r="F21" s="127">
        <v>7.0000000000000007E-2</v>
      </c>
      <c r="G21" s="135"/>
      <c r="H21" s="136"/>
      <c r="I21" s="128">
        <f t="shared" si="6"/>
        <v>7.0000000000000007E-2</v>
      </c>
      <c r="L21" s="129">
        <f t="shared" si="2"/>
        <v>0</v>
      </c>
      <c r="M21" s="124">
        <f>IF(C21=$G$3,$I21,0)</f>
        <v>7.0000000000000007E-2</v>
      </c>
      <c r="N21" s="129">
        <f>IF((D21=$G$5)+OR(D21=""),$I21,0)</f>
        <v>0</v>
      </c>
      <c r="O21" s="124">
        <f>IF(D21=$G$3,$I21,0)</f>
        <v>7.0000000000000007E-2</v>
      </c>
      <c r="P21" s="129">
        <f t="shared" si="4"/>
        <v>0</v>
      </c>
      <c r="Q21" s="124">
        <f t="shared" si="5"/>
        <v>0</v>
      </c>
      <c r="R21" s="125"/>
      <c r="S21" s="126"/>
      <c r="T21"/>
      <c r="U21"/>
      <c r="V21"/>
    </row>
    <row r="22" spans="1:22" ht="33" customHeight="1">
      <c r="B22" s="160" t="s">
        <v>103</v>
      </c>
      <c r="C22" s="160" t="s">
        <v>3</v>
      </c>
      <c r="D22" s="160" t="s">
        <v>3</v>
      </c>
      <c r="E22" s="160" t="s">
        <v>3</v>
      </c>
      <c r="F22" s="107">
        <v>7.0000000000000007E-2</v>
      </c>
      <c r="G22" s="135"/>
      <c r="H22" s="136"/>
      <c r="I22" s="128">
        <f t="shared" si="6"/>
        <v>7.0000000000000007E-2</v>
      </c>
      <c r="L22" s="129">
        <f t="shared" si="2"/>
        <v>0</v>
      </c>
      <c r="M22" s="124">
        <f>IF(C22=$G$3,$I22,0)</f>
        <v>7.0000000000000007E-2</v>
      </c>
      <c r="N22" s="129">
        <f>IF((D22=$G$5)+OR(D22=""),$I22,0)</f>
        <v>0</v>
      </c>
      <c r="O22" s="124">
        <f>IF(D22=$G$3,$I22,0)</f>
        <v>7.0000000000000007E-2</v>
      </c>
      <c r="P22" s="129">
        <f t="shared" si="4"/>
        <v>0</v>
      </c>
      <c r="Q22" s="124">
        <f t="shared" si="5"/>
        <v>7.0000000000000007E-2</v>
      </c>
      <c r="R22" s="125"/>
      <c r="S22" s="126"/>
      <c r="T22"/>
      <c r="U22"/>
      <c r="V22"/>
    </row>
    <row r="23" spans="1:22" ht="24.95" customHeight="1">
      <c r="B23" s="160"/>
      <c r="C23" s="160" t="s">
        <v>3</v>
      </c>
      <c r="D23" s="160" t="s">
        <v>3</v>
      </c>
      <c r="E23" s="160" t="s">
        <v>3</v>
      </c>
      <c r="F23" s="127">
        <v>7.0000000000000007E-2</v>
      </c>
      <c r="G23" s="135"/>
      <c r="H23" s="136"/>
      <c r="I23" s="128">
        <f t="shared" si="6"/>
        <v>7.0000000000000007E-2</v>
      </c>
      <c r="L23" s="129">
        <f t="shared" si="2"/>
        <v>0</v>
      </c>
      <c r="M23" s="124">
        <f>IF(C23=$G$3,$I23,0)</f>
        <v>7.0000000000000007E-2</v>
      </c>
      <c r="N23" s="129">
        <f>IF((D23=$G$5)+OR(D23=""),$I23,0)</f>
        <v>0</v>
      </c>
      <c r="O23" s="124">
        <f>IF(D23=$G$3,$I23,0)</f>
        <v>7.0000000000000007E-2</v>
      </c>
      <c r="P23" s="129">
        <f t="shared" si="4"/>
        <v>0</v>
      </c>
      <c r="Q23" s="124">
        <f t="shared" si="5"/>
        <v>7.0000000000000007E-2</v>
      </c>
      <c r="R23" s="125"/>
      <c r="S23" s="126"/>
      <c r="T23"/>
      <c r="U23"/>
      <c r="V23"/>
    </row>
    <row r="24" spans="1:22" ht="24.95" customHeight="1">
      <c r="A24" t="s">
        <v>104</v>
      </c>
      <c r="B24" s="133" t="s">
        <v>13</v>
      </c>
      <c r="C24" s="102"/>
      <c r="D24" s="102"/>
      <c r="E24" s="102"/>
      <c r="F24" s="101"/>
      <c r="G24" s="137"/>
      <c r="H24" s="123"/>
      <c r="I24" s="128">
        <f t="shared" si="6"/>
        <v>0</v>
      </c>
      <c r="L24" s="129">
        <f t="shared" si="2"/>
        <v>0</v>
      </c>
      <c r="M24" s="98"/>
      <c r="O24" s="98"/>
      <c r="Q24" s="98"/>
      <c r="R24" s="125"/>
      <c r="S24" s="126"/>
      <c r="T24"/>
      <c r="U24"/>
      <c r="V24"/>
    </row>
    <row r="25" spans="1:22" ht="24.95" customHeight="1">
      <c r="B25" s="160" t="s">
        <v>105</v>
      </c>
      <c r="C25" s="160" t="s">
        <v>4</v>
      </c>
      <c r="D25" s="160" t="s">
        <v>4</v>
      </c>
      <c r="E25" s="160" t="s">
        <v>4</v>
      </c>
      <c r="F25" s="103">
        <v>0.06</v>
      </c>
      <c r="G25" s="106"/>
      <c r="H25" s="106"/>
      <c r="I25" s="138">
        <f t="shared" si="6"/>
        <v>0.06</v>
      </c>
      <c r="J25" s="139"/>
      <c r="K25" s="139"/>
      <c r="L25" s="140">
        <f t="shared" si="2"/>
        <v>0</v>
      </c>
      <c r="M25" s="141">
        <f>IF(C25=$G$3,$I25,0)</f>
        <v>0</v>
      </c>
      <c r="N25" s="140">
        <f>IF((D25=$G$5)+OR(D25=""),$I25,0)</f>
        <v>0</v>
      </c>
      <c r="O25" s="141">
        <f>IF(D25=$G$3,$I25,0)</f>
        <v>0</v>
      </c>
      <c r="P25" s="140">
        <f>IF((E25=$G$5)+OR(E25=""),$I25,0)</f>
        <v>0</v>
      </c>
      <c r="Q25" s="141">
        <f>IF(E25=$G$3,$I25,0)</f>
        <v>0</v>
      </c>
      <c r="R25" s="94"/>
      <c r="S25" s="95"/>
      <c r="T25"/>
      <c r="U25"/>
      <c r="V25"/>
    </row>
    <row r="26" spans="1:22" ht="24.95" customHeight="1">
      <c r="B26" s="160" t="s">
        <v>106</v>
      </c>
      <c r="C26" s="160" t="s">
        <v>3</v>
      </c>
      <c r="D26" s="160" t="s">
        <v>3</v>
      </c>
      <c r="E26" s="160" t="s">
        <v>3</v>
      </c>
      <c r="F26" s="107">
        <v>0.06</v>
      </c>
      <c r="G26" s="106"/>
      <c r="H26" s="106"/>
      <c r="I26" s="138">
        <f t="shared" si="6"/>
        <v>0.06</v>
      </c>
      <c r="J26" s="139"/>
      <c r="K26" s="139"/>
      <c r="L26" s="140">
        <f t="shared" si="2"/>
        <v>0</v>
      </c>
      <c r="M26" s="141">
        <f>IF(C26=$G$3,$I26,0)</f>
        <v>0.06</v>
      </c>
      <c r="N26" s="140">
        <f>IF((D26=$G$5)+OR(D26=""),$I26,0)</f>
        <v>0</v>
      </c>
      <c r="O26" s="141">
        <f>IF(D26=$G$3,$I26,0)</f>
        <v>0.06</v>
      </c>
      <c r="P26" s="140">
        <f>IF((E26=$G$5)+OR(E26=""),$I26,0)</f>
        <v>0</v>
      </c>
      <c r="Q26" s="141">
        <f>IF(E26=$G$3,$I26,0)</f>
        <v>0.06</v>
      </c>
      <c r="R26" s="94"/>
      <c r="S26" s="95"/>
      <c r="T26"/>
      <c r="U26"/>
      <c r="V26"/>
    </row>
    <row r="27" spans="1:22" ht="24.95" customHeight="1">
      <c r="B27" s="160" t="s">
        <v>107</v>
      </c>
      <c r="C27" s="160" t="s">
        <v>3</v>
      </c>
      <c r="D27" s="160" t="s">
        <v>3</v>
      </c>
      <c r="E27" s="160" t="s">
        <v>3</v>
      </c>
      <c r="F27" s="107">
        <v>0.06</v>
      </c>
      <c r="G27" s="106"/>
      <c r="H27" s="106"/>
      <c r="I27" s="138">
        <f t="shared" si="6"/>
        <v>0.06</v>
      </c>
      <c r="J27" s="139"/>
      <c r="K27" s="139"/>
      <c r="L27" s="140">
        <f t="shared" si="2"/>
        <v>0</v>
      </c>
      <c r="M27" s="141">
        <f>IF(C27=$G$3,$I27,0)</f>
        <v>0.06</v>
      </c>
      <c r="N27" s="140">
        <f>IF((D27=$G$5)+OR(D27=""),$I27,0)</f>
        <v>0</v>
      </c>
      <c r="O27" s="141">
        <f>IF(D27=$G$3,$I27,0)</f>
        <v>0.06</v>
      </c>
      <c r="P27" s="140">
        <f>IF((E27=$G$5)+OR(E27=""),$I27,0)</f>
        <v>0</v>
      </c>
      <c r="Q27" s="141">
        <f>IF(E27=$G$3,$I27,0)</f>
        <v>0.06</v>
      </c>
      <c r="R27" s="139"/>
      <c r="S27" s="95"/>
      <c r="T27"/>
      <c r="U27"/>
      <c r="V27"/>
    </row>
    <row r="28" spans="1:22" ht="24.95" customHeight="1">
      <c r="B28" s="160" t="s">
        <v>108</v>
      </c>
      <c r="C28" s="160" t="s">
        <v>4</v>
      </c>
      <c r="D28" s="160" t="s">
        <v>4</v>
      </c>
      <c r="E28" s="160" t="s">
        <v>3</v>
      </c>
      <c r="F28" s="107">
        <v>0.05</v>
      </c>
      <c r="G28" s="106"/>
      <c r="H28" s="106"/>
      <c r="I28" s="138">
        <f t="shared" si="6"/>
        <v>0.05</v>
      </c>
      <c r="J28" s="139"/>
      <c r="K28" s="139"/>
      <c r="L28" s="140">
        <f t="shared" si="2"/>
        <v>0</v>
      </c>
      <c r="M28" s="141">
        <f>IF(C28=$G$3,$I28,0)</f>
        <v>0</v>
      </c>
      <c r="N28" s="140">
        <f>IF((D28=$G$5)+OR(D28=""),$I28,0)</f>
        <v>0</v>
      </c>
      <c r="O28" s="141">
        <f>IF(D28=$G$3,$I28,0)</f>
        <v>0</v>
      </c>
      <c r="P28" s="140">
        <f>IF((E28=$G$5)+OR(E28=""),$I28,0)</f>
        <v>0</v>
      </c>
      <c r="Q28" s="141">
        <f>IF(E28=$G$3,$I28,0)</f>
        <v>0.05</v>
      </c>
      <c r="R28" s="139"/>
      <c r="S28" s="95"/>
      <c r="T28"/>
      <c r="U28"/>
      <c r="V28"/>
    </row>
    <row r="29" spans="1:22" ht="24.95" customHeight="1">
      <c r="B29" s="160" t="s">
        <v>110</v>
      </c>
      <c r="C29" s="160" t="s">
        <v>3</v>
      </c>
      <c r="D29" s="160" t="s">
        <v>3</v>
      </c>
      <c r="E29" s="160" t="s">
        <v>3</v>
      </c>
      <c r="F29" s="107">
        <v>0.05</v>
      </c>
      <c r="G29" s="106"/>
      <c r="H29" s="106"/>
      <c r="I29" s="138">
        <f t="shared" si="6"/>
        <v>0.05</v>
      </c>
      <c r="J29" s="139"/>
      <c r="K29" s="139"/>
      <c r="L29" s="140"/>
      <c r="M29" s="141"/>
      <c r="N29" s="140"/>
      <c r="O29" s="141"/>
      <c r="P29" s="140"/>
      <c r="Q29" s="141"/>
      <c r="R29" s="139"/>
      <c r="S29" s="95"/>
      <c r="T29"/>
      <c r="U29"/>
      <c r="V29"/>
    </row>
    <row r="30" spans="1:22" s="74" customFormat="1" ht="24.95" customHeight="1">
      <c r="B30" s="160" t="s">
        <v>109</v>
      </c>
      <c r="C30" s="160" t="s">
        <v>7</v>
      </c>
      <c r="D30" s="160" t="s">
        <v>3</v>
      </c>
      <c r="E30" s="160" t="s">
        <v>7</v>
      </c>
      <c r="F30" s="142">
        <v>0.05</v>
      </c>
      <c r="G30" s="123"/>
      <c r="H30" s="123"/>
      <c r="I30" s="128">
        <f t="shared" si="6"/>
        <v>0.05</v>
      </c>
      <c r="J30" s="93"/>
      <c r="K30" s="93"/>
      <c r="L30" s="129">
        <f t="shared" si="2"/>
        <v>0.05</v>
      </c>
      <c r="M30" s="124">
        <v>0.05</v>
      </c>
      <c r="N30" s="129">
        <v>0</v>
      </c>
      <c r="O30" s="124">
        <f>IF(D30=$G$3,$I30,0)</f>
        <v>0.05</v>
      </c>
      <c r="P30" s="124">
        <f>IF(E30=$G$3,$I30,0)</f>
        <v>0</v>
      </c>
      <c r="Q30" s="124">
        <f>IF(E30=$G$3,$I30,0)</f>
        <v>0</v>
      </c>
      <c r="R30" s="93"/>
      <c r="S30" s="126"/>
    </row>
    <row r="31" spans="1:22" ht="24.95" customHeight="1">
      <c r="B31" s="143" t="s">
        <v>14</v>
      </c>
      <c r="C31" s="99"/>
      <c r="D31" s="99"/>
      <c r="E31" s="99"/>
      <c r="F31" s="144"/>
      <c r="G31" s="137"/>
      <c r="H31" s="123"/>
      <c r="I31" s="136"/>
      <c r="M31" s="129">
        <f>M10*100</f>
        <v>84.000000000000028</v>
      </c>
      <c r="N31" s="129">
        <f>N10*100</f>
        <v>0</v>
      </c>
      <c r="O31" s="129">
        <f>O10*100</f>
        <v>84.000000000000028</v>
      </c>
      <c r="P31" s="129">
        <f>P10*100</f>
        <v>0</v>
      </c>
      <c r="Q31" s="129">
        <f>Q10*100</f>
        <v>100</v>
      </c>
      <c r="R31" s="94"/>
      <c r="S31" s="95"/>
      <c r="T31"/>
      <c r="U31"/>
      <c r="V31"/>
    </row>
    <row r="32" spans="1:22" ht="78.599999999999994" customHeight="1">
      <c r="B32" s="145"/>
      <c r="C32" s="146"/>
      <c r="D32" s="146"/>
      <c r="E32" s="146"/>
      <c r="F32" s="107"/>
      <c r="G32" s="147"/>
      <c r="H32" s="147"/>
      <c r="I32" s="147"/>
      <c r="J32"/>
      <c r="K32"/>
      <c r="L32"/>
      <c r="M32" s="139"/>
      <c r="N32" s="139"/>
      <c r="O32" s="139"/>
      <c r="P32" s="139"/>
      <c r="Q32" s="139"/>
      <c r="R32" s="140">
        <f>AVERAGE(Q31,O31,M31)</f>
        <v>89.333333333333357</v>
      </c>
      <c r="S32" s="126"/>
      <c r="T32"/>
      <c r="U32"/>
      <c r="V32"/>
    </row>
    <row r="33" spans="2:22" ht="90.95" customHeight="1">
      <c r="B33" s="145"/>
      <c r="C33" s="148"/>
      <c r="D33" s="148"/>
      <c r="E33" s="148"/>
      <c r="F33" s="142"/>
      <c r="G33" s="147"/>
      <c r="H33" s="147"/>
      <c r="I33" s="147"/>
      <c r="J33"/>
      <c r="K33"/>
      <c r="L33"/>
      <c r="M33" s="93">
        <v>100</v>
      </c>
      <c r="N33" s="93">
        <v>100</v>
      </c>
      <c r="O33" s="93">
        <v>100</v>
      </c>
      <c r="P33" s="93">
        <v>100</v>
      </c>
      <c r="Q33" s="93">
        <v>100</v>
      </c>
      <c r="R33" s="125"/>
      <c r="S33" s="126"/>
      <c r="T33"/>
      <c r="U33"/>
      <c r="V33"/>
    </row>
    <row r="34" spans="2:22" ht="18">
      <c r="B34" s="145"/>
      <c r="C34" s="149"/>
      <c r="D34" s="149"/>
      <c r="E34" s="149"/>
      <c r="F34" s="142"/>
      <c r="G34" s="147"/>
      <c r="H34" s="147"/>
      <c r="I34" s="147"/>
      <c r="J34"/>
      <c r="K34"/>
      <c r="L34"/>
      <c r="R34" s="125"/>
      <c r="S34" s="126"/>
      <c r="T34"/>
      <c r="U34"/>
      <c r="V34"/>
    </row>
    <row r="35" spans="2:22" ht="24.95" customHeight="1">
      <c r="B35" s="150"/>
      <c r="C35" s="151"/>
      <c r="D35" s="151"/>
      <c r="E35" s="151"/>
      <c r="F35" s="142"/>
      <c r="G35" s="147"/>
      <c r="H35" s="147"/>
      <c r="I35" s="147"/>
      <c r="J35"/>
      <c r="K35"/>
      <c r="L35"/>
      <c r="R35" s="125"/>
      <c r="S35" s="126"/>
      <c r="T35"/>
      <c r="U35"/>
      <c r="V35"/>
    </row>
    <row r="36" spans="2:22" ht="24.95" customHeight="1">
      <c r="B36" s="209" t="s">
        <v>13</v>
      </c>
      <c r="C36" s="210"/>
      <c r="D36" s="210"/>
      <c r="E36" s="211"/>
      <c r="F36" s="19"/>
      <c r="G36" s="137"/>
      <c r="H36" s="123"/>
      <c r="I36" s="123"/>
      <c r="J36" s="98"/>
      <c r="L36" s="139"/>
      <c r="M36" s="139"/>
      <c r="N36" s="139"/>
      <c r="O36" s="139"/>
      <c r="P36" s="139"/>
      <c r="Q36" s="139"/>
      <c r="T36"/>
      <c r="U36"/>
      <c r="V36"/>
    </row>
    <row r="37" spans="2:22" ht="24.95" customHeight="1">
      <c r="B37" s="14" t="s">
        <v>133</v>
      </c>
      <c r="C37" s="6"/>
      <c r="D37" s="6"/>
      <c r="E37" s="6"/>
      <c r="F37" s="2"/>
      <c r="G37" s="137"/>
      <c r="H37" s="123"/>
      <c r="I37" s="123"/>
      <c r="J37" s="98"/>
      <c r="L37" s="139"/>
      <c r="M37" s="139"/>
      <c r="N37" s="139"/>
      <c r="O37" s="139"/>
      <c r="P37" s="139"/>
      <c r="Q37" s="139"/>
      <c r="T37"/>
      <c r="U37"/>
      <c r="V37"/>
    </row>
    <row r="38" spans="2:22" ht="24.95" customHeight="1">
      <c r="B38" s="14"/>
      <c r="C38" s="6"/>
      <c r="D38" s="6"/>
      <c r="E38" s="6"/>
      <c r="F38" s="7"/>
      <c r="G38" s="137"/>
      <c r="H38" s="123"/>
      <c r="I38" s="123"/>
      <c r="J38" s="98"/>
      <c r="T38"/>
      <c r="U38"/>
      <c r="V38"/>
    </row>
    <row r="39" spans="2:22" ht="24.95" customHeight="1">
      <c r="B39" s="28" t="s">
        <v>134</v>
      </c>
      <c r="C39" s="6"/>
      <c r="D39" s="6"/>
      <c r="E39" s="6"/>
      <c r="F39" s="7"/>
      <c r="G39" s="152"/>
      <c r="T39"/>
      <c r="U39"/>
      <c r="V39"/>
    </row>
    <row r="40" spans="2:22" ht="24.95" customHeight="1">
      <c r="B40" s="212" t="s">
        <v>14</v>
      </c>
      <c r="C40" s="213"/>
      <c r="D40" s="213"/>
      <c r="E40" s="214"/>
      <c r="F40" s="9"/>
      <c r="G40" s="152"/>
      <c r="T40"/>
      <c r="U40"/>
      <c r="V40"/>
    </row>
    <row r="41" spans="2:22" ht="24.95" customHeight="1">
      <c r="B41" s="215"/>
      <c r="C41" s="216"/>
      <c r="D41" s="216"/>
      <c r="E41" s="217"/>
      <c r="F41" s="2"/>
      <c r="T41"/>
      <c r="U41"/>
      <c r="V41"/>
    </row>
    <row r="42" spans="2:22" ht="24.95" customHeight="1">
      <c r="B42" s="218"/>
      <c r="C42" s="219"/>
      <c r="D42" s="219"/>
      <c r="E42" s="220"/>
      <c r="F42" s="10"/>
      <c r="T42"/>
      <c r="U42"/>
      <c r="V42"/>
    </row>
    <row r="43" spans="2:22" ht="24.95" customHeight="1">
      <c r="B43" s="221" t="s">
        <v>15</v>
      </c>
      <c r="C43" s="222"/>
      <c r="D43" s="222"/>
      <c r="E43" s="223"/>
      <c r="F43" s="10"/>
      <c r="T43"/>
      <c r="U43"/>
      <c r="V43"/>
    </row>
    <row r="44" spans="2:22" ht="24.95" customHeight="1">
      <c r="B44" s="225" t="s">
        <v>135</v>
      </c>
      <c r="C44" s="226"/>
      <c r="D44" s="226"/>
      <c r="E44" s="227"/>
      <c r="F44" s="10"/>
      <c r="T44"/>
      <c r="U44"/>
      <c r="V44"/>
    </row>
    <row r="45" spans="2:22" ht="24.95" customHeight="1">
      <c r="B45" s="163"/>
      <c r="C45" s="164"/>
      <c r="D45" s="164"/>
      <c r="E45" s="165"/>
      <c r="F45" s="10"/>
      <c r="T45"/>
      <c r="U45"/>
      <c r="V45"/>
    </row>
    <row r="46" spans="2:22" ht="24.95" customHeight="1">
      <c r="B46" s="225"/>
      <c r="C46" s="226"/>
      <c r="D46" s="226"/>
      <c r="E46" s="227"/>
      <c r="F46" s="10"/>
      <c r="H46" s="92"/>
      <c r="I46" s="92"/>
      <c r="J46" s="139"/>
      <c r="K46" s="139"/>
      <c r="R46" s="139"/>
      <c r="S46"/>
      <c r="T46"/>
      <c r="U46"/>
      <c r="V46"/>
    </row>
    <row r="47" spans="2:22" ht="24.95" customHeight="1">
      <c r="B47" s="221" t="s">
        <v>16</v>
      </c>
      <c r="C47" s="222"/>
      <c r="D47" s="222"/>
      <c r="E47" s="223"/>
      <c r="F47" s="10"/>
      <c r="H47" s="92"/>
      <c r="I47" s="92"/>
      <c r="J47" s="139"/>
      <c r="K47" s="139"/>
      <c r="R47" s="139"/>
      <c r="S47"/>
      <c r="T47"/>
      <c r="U47"/>
      <c r="V47"/>
    </row>
    <row r="48" spans="2:22" ht="24.95" customHeight="1">
      <c r="B48" s="228" t="s">
        <v>136</v>
      </c>
      <c r="C48" s="229"/>
      <c r="D48" s="229"/>
      <c r="E48" s="230"/>
      <c r="F48" s="10"/>
      <c r="H48" s="92"/>
      <c r="I48" s="92"/>
      <c r="J48" s="139"/>
      <c r="K48" s="139"/>
      <c r="R48" s="139"/>
      <c r="S48"/>
      <c r="T48"/>
      <c r="U48"/>
      <c r="V48"/>
    </row>
    <row r="49" spans="2:22" ht="24.95" customHeight="1">
      <c r="B49" s="231" t="s">
        <v>137</v>
      </c>
      <c r="C49" s="231"/>
      <c r="D49" s="231"/>
      <c r="E49" s="231"/>
      <c r="F49" s="10"/>
      <c r="H49" s="92"/>
      <c r="I49" s="92"/>
      <c r="J49" s="139"/>
      <c r="K49" s="139"/>
      <c r="R49" s="139"/>
      <c r="S49"/>
      <c r="T49"/>
      <c r="U49"/>
      <c r="V49"/>
    </row>
    <row r="50" spans="2:22" s="74" customFormat="1" ht="24.95" customHeight="1">
      <c r="B50" s="224"/>
      <c r="C50" s="224"/>
      <c r="D50" s="224"/>
      <c r="E50" s="224"/>
      <c r="F50" s="23"/>
      <c r="G50" s="157"/>
      <c r="H50" s="152"/>
      <c r="I50" s="152"/>
      <c r="J50" s="93"/>
      <c r="K50" s="93"/>
      <c r="L50" s="93"/>
      <c r="M50" s="93"/>
      <c r="N50" s="93"/>
      <c r="O50" s="93"/>
      <c r="P50" s="93"/>
      <c r="Q50" s="93"/>
      <c r="R50" s="93"/>
    </row>
    <row r="51" spans="2:22" s="74" customFormat="1" ht="24.95" customHeight="1">
      <c r="B51" s="224"/>
      <c r="C51" s="224"/>
      <c r="D51" s="224"/>
      <c r="E51" s="224"/>
      <c r="F51" s="171"/>
      <c r="G51" s="157"/>
      <c r="H51" s="152"/>
      <c r="I51" s="152"/>
      <c r="J51" s="93"/>
      <c r="K51" s="93"/>
      <c r="L51" s="93"/>
      <c r="M51" s="93"/>
      <c r="N51" s="93"/>
      <c r="O51" s="93"/>
      <c r="P51" s="93"/>
      <c r="Q51" s="93"/>
      <c r="R51" s="93"/>
    </row>
    <row r="52" spans="2:22" s="74" customFormat="1" ht="24.95" customHeight="1">
      <c r="B52" s="155"/>
      <c r="C52" s="153"/>
      <c r="D52" s="153"/>
      <c r="E52" s="154"/>
      <c r="F52" s="156"/>
      <c r="G52" s="157"/>
      <c r="H52" s="152"/>
      <c r="I52" s="152"/>
      <c r="J52" s="93"/>
      <c r="K52" s="93"/>
      <c r="L52" s="93"/>
      <c r="M52" s="93"/>
      <c r="N52" s="93"/>
      <c r="O52" s="93"/>
      <c r="P52" s="93"/>
      <c r="Q52" s="93"/>
      <c r="R52" s="93"/>
    </row>
    <row r="53" spans="2:22" s="74" customFormat="1" ht="24.95" customHeight="1">
      <c r="B53" s="155"/>
      <c r="C53" s="153"/>
      <c r="D53" s="153"/>
      <c r="E53" s="154"/>
      <c r="F53" s="128"/>
      <c r="G53" s="157"/>
      <c r="H53" s="152"/>
      <c r="I53" s="152"/>
      <c r="J53" s="93"/>
      <c r="K53" s="93"/>
      <c r="L53" s="93"/>
      <c r="M53" s="93"/>
      <c r="N53" s="93"/>
      <c r="O53" s="93"/>
      <c r="P53" s="93"/>
      <c r="Q53" s="93"/>
      <c r="R53" s="93"/>
    </row>
    <row r="54" spans="2:22" s="74" customFormat="1" ht="24.95" customHeight="1">
      <c r="B54" s="155"/>
      <c r="C54" s="153"/>
      <c r="D54" s="153"/>
      <c r="E54" s="154"/>
      <c r="F54" s="128"/>
      <c r="G54" s="157"/>
      <c r="H54" s="152"/>
      <c r="I54" s="152"/>
      <c r="J54" s="93"/>
      <c r="K54" s="93"/>
      <c r="L54" s="93"/>
      <c r="M54" s="93"/>
      <c r="N54" s="93"/>
      <c r="O54" s="93"/>
      <c r="P54" s="93"/>
      <c r="Q54" s="93"/>
      <c r="R54" s="93"/>
    </row>
    <row r="55" spans="2:22" s="74" customFormat="1" ht="24.95" customHeight="1">
      <c r="B55" s="155"/>
      <c r="C55" s="153"/>
      <c r="D55" s="153"/>
      <c r="E55" s="154"/>
      <c r="F55" s="128"/>
      <c r="G55" s="157"/>
      <c r="H55" s="152"/>
      <c r="I55" s="152"/>
      <c r="J55" s="93"/>
      <c r="K55" s="93"/>
      <c r="L55" s="93"/>
      <c r="M55" s="93"/>
      <c r="N55" s="93"/>
      <c r="O55" s="93"/>
      <c r="P55" s="93"/>
      <c r="Q55" s="93"/>
      <c r="R55" s="93"/>
    </row>
    <row r="56" spans="2:22" s="74" customFormat="1" ht="24.95" customHeight="1">
      <c r="B56" s="155"/>
      <c r="C56" s="92"/>
      <c r="D56" s="92"/>
      <c r="E56" s="152"/>
      <c r="F56" s="128"/>
      <c r="G56" s="157"/>
      <c r="H56" s="152"/>
      <c r="I56" s="152"/>
      <c r="J56" s="93"/>
      <c r="K56" s="93"/>
      <c r="L56" s="93"/>
      <c r="M56" s="93"/>
      <c r="N56" s="93"/>
      <c r="O56" s="93"/>
      <c r="P56" s="93"/>
      <c r="Q56" s="93"/>
      <c r="R56" s="93"/>
    </row>
    <row r="57" spans="2:22" s="74" customFormat="1" ht="24.95" customHeight="1">
      <c r="B57" s="155"/>
      <c r="C57" s="92"/>
      <c r="D57" s="92"/>
      <c r="E57" s="152"/>
      <c r="F57" s="128"/>
      <c r="G57" s="157"/>
      <c r="H57" s="152"/>
      <c r="I57" s="152"/>
      <c r="J57" s="93"/>
      <c r="K57" s="93"/>
      <c r="L57" s="93"/>
      <c r="M57" s="93"/>
      <c r="N57" s="93"/>
      <c r="O57" s="93"/>
      <c r="P57" s="93"/>
      <c r="Q57" s="93"/>
      <c r="R57" s="93"/>
    </row>
    <row r="58" spans="2:22" s="74" customFormat="1" ht="24.95" customHeight="1">
      <c r="B58" s="155"/>
      <c r="C58" s="92"/>
      <c r="D58" s="92"/>
      <c r="E58" s="152"/>
      <c r="F58" s="128"/>
      <c r="G58" s="157"/>
      <c r="H58" s="152"/>
      <c r="I58" s="152"/>
      <c r="J58" s="93"/>
      <c r="K58" s="93"/>
      <c r="L58" s="93"/>
      <c r="M58" s="93"/>
      <c r="N58" s="93"/>
      <c r="O58" s="93"/>
      <c r="P58" s="93"/>
      <c r="Q58" s="93"/>
      <c r="R58" s="93"/>
    </row>
    <row r="59" spans="2:22" s="74" customFormat="1" ht="24.95" customHeight="1">
      <c r="B59" s="155"/>
      <c r="C59" s="92"/>
      <c r="D59" s="92"/>
      <c r="E59" s="152"/>
      <c r="F59" s="128"/>
      <c r="G59" s="157"/>
      <c r="H59" s="152"/>
      <c r="I59" s="152"/>
      <c r="J59" s="93"/>
      <c r="K59" s="93"/>
      <c r="L59" s="93"/>
      <c r="M59" s="93"/>
      <c r="N59" s="93"/>
      <c r="O59" s="93"/>
      <c r="P59" s="93"/>
      <c r="Q59" s="93"/>
      <c r="R59" s="93"/>
    </row>
    <row r="60" spans="2:22" s="74" customFormat="1" ht="24.95" customHeight="1">
      <c r="B60" s="155"/>
      <c r="C60" s="92"/>
      <c r="D60" s="92"/>
      <c r="E60" s="152"/>
      <c r="F60" s="128"/>
      <c r="G60" s="157"/>
      <c r="H60" s="152"/>
      <c r="I60" s="152"/>
      <c r="J60" s="93"/>
      <c r="K60" s="93"/>
      <c r="L60" s="93"/>
      <c r="M60" s="93"/>
      <c r="N60" s="93"/>
      <c r="O60" s="93"/>
      <c r="P60" s="93"/>
      <c r="Q60" s="93"/>
      <c r="R60" s="93"/>
    </row>
    <row r="61" spans="2:22" s="74" customFormat="1" ht="24.95" customHeight="1">
      <c r="B61" s="155"/>
      <c r="C61" s="92"/>
      <c r="D61" s="92"/>
      <c r="E61" s="152"/>
      <c r="F61" s="128"/>
      <c r="G61" s="157"/>
      <c r="H61" s="152"/>
      <c r="I61" s="152"/>
      <c r="J61" s="93"/>
      <c r="K61" s="93"/>
      <c r="L61" s="93"/>
      <c r="M61" s="93"/>
      <c r="N61" s="93"/>
      <c r="O61" s="93"/>
      <c r="P61" s="93"/>
      <c r="Q61" s="93"/>
      <c r="R61" s="93"/>
    </row>
    <row r="62" spans="2:22" s="74" customFormat="1" ht="24.95" customHeight="1">
      <c r="B62" s="155"/>
      <c r="C62" s="92"/>
      <c r="D62" s="92"/>
      <c r="E62" s="152"/>
      <c r="F62" s="128"/>
      <c r="G62" s="157"/>
      <c r="H62" s="152"/>
      <c r="I62" s="152"/>
      <c r="J62" s="93"/>
      <c r="K62" s="93"/>
      <c r="L62" s="93"/>
      <c r="M62" s="93"/>
      <c r="N62" s="93"/>
      <c r="O62" s="93"/>
      <c r="P62" s="93"/>
      <c r="Q62" s="93"/>
      <c r="R62" s="93"/>
    </row>
    <row r="63" spans="2:22" s="74" customFormat="1" ht="24.95" customHeight="1">
      <c r="B63" s="155"/>
      <c r="C63" s="92"/>
      <c r="D63" s="92"/>
      <c r="E63" s="152"/>
      <c r="F63" s="128"/>
      <c r="G63" s="157"/>
      <c r="H63" s="152"/>
      <c r="I63" s="152"/>
      <c r="J63" s="93"/>
      <c r="K63" s="93"/>
      <c r="L63" s="93"/>
      <c r="M63" s="93"/>
      <c r="N63" s="93"/>
      <c r="O63" s="93"/>
      <c r="P63" s="93"/>
      <c r="Q63" s="93"/>
      <c r="R63" s="93"/>
    </row>
    <row r="64" spans="2:22" s="74" customFormat="1" ht="24.95" customHeight="1">
      <c r="B64" s="155"/>
      <c r="C64" s="92"/>
      <c r="D64" s="92"/>
      <c r="E64" s="152"/>
      <c r="F64" s="128"/>
      <c r="G64" s="157"/>
      <c r="H64" s="152"/>
      <c r="I64" s="152"/>
      <c r="J64" s="93"/>
      <c r="K64" s="93"/>
      <c r="L64" s="93"/>
      <c r="M64" s="93"/>
      <c r="N64" s="93"/>
      <c r="O64" s="93"/>
      <c r="P64" s="93"/>
      <c r="Q64" s="93"/>
      <c r="R64" s="93"/>
    </row>
    <row r="65" spans="2:18" s="74" customFormat="1" ht="24.95" customHeight="1">
      <c r="B65" s="155"/>
      <c r="C65" s="92"/>
      <c r="D65" s="92"/>
      <c r="E65" s="152"/>
      <c r="F65" s="128"/>
      <c r="G65" s="157"/>
      <c r="H65" s="152"/>
      <c r="I65" s="152"/>
      <c r="J65" s="93"/>
      <c r="K65" s="93"/>
      <c r="L65" s="93"/>
      <c r="M65" s="93"/>
      <c r="N65" s="93"/>
      <c r="O65" s="93"/>
      <c r="P65" s="93"/>
      <c r="Q65" s="93"/>
      <c r="R65" s="93"/>
    </row>
    <row r="66" spans="2:18" s="74" customFormat="1" ht="24.95" customHeight="1">
      <c r="B66" s="155"/>
      <c r="C66" s="92"/>
      <c r="D66" s="92"/>
      <c r="E66" s="152"/>
      <c r="F66" s="128"/>
      <c r="G66" s="157"/>
      <c r="H66" s="152"/>
      <c r="I66" s="152"/>
      <c r="J66" s="93"/>
      <c r="K66" s="93"/>
      <c r="L66" s="93"/>
      <c r="M66" s="93"/>
      <c r="N66" s="93"/>
      <c r="O66" s="93"/>
      <c r="P66" s="93"/>
      <c r="Q66" s="93"/>
      <c r="R66" s="93"/>
    </row>
    <row r="67" spans="2:18" s="74" customFormat="1" ht="24.95" customHeight="1">
      <c r="B67" s="155"/>
      <c r="C67" s="92"/>
      <c r="D67" s="92"/>
      <c r="E67" s="152"/>
      <c r="F67" s="128"/>
      <c r="G67" s="157"/>
      <c r="H67" s="152"/>
      <c r="I67" s="152"/>
      <c r="J67" s="93"/>
      <c r="K67" s="93"/>
      <c r="L67" s="93"/>
      <c r="M67" s="93"/>
      <c r="N67" s="93"/>
      <c r="O67" s="93"/>
      <c r="P67" s="93"/>
      <c r="Q67" s="93"/>
      <c r="R67" s="93"/>
    </row>
    <row r="68" spans="2:18" s="74" customFormat="1" ht="24.95" customHeight="1">
      <c r="B68" s="155"/>
      <c r="C68" s="92"/>
      <c r="D68" s="92"/>
      <c r="E68" s="152"/>
      <c r="F68" s="128"/>
      <c r="G68" s="157"/>
      <c r="H68" s="152"/>
      <c r="I68" s="152"/>
      <c r="J68" s="93"/>
      <c r="K68" s="93"/>
      <c r="L68" s="93"/>
      <c r="M68" s="93"/>
      <c r="N68" s="93"/>
      <c r="O68" s="93"/>
      <c r="P68" s="93"/>
      <c r="Q68" s="93"/>
      <c r="R68" s="93"/>
    </row>
    <row r="69" spans="2:18" s="74" customFormat="1" ht="24.95" customHeight="1">
      <c r="B69" s="155"/>
      <c r="C69" s="92"/>
      <c r="D69" s="92"/>
      <c r="E69" s="152"/>
      <c r="F69" s="128"/>
      <c r="G69" s="157"/>
      <c r="H69" s="152"/>
      <c r="I69" s="152"/>
      <c r="J69" s="93"/>
      <c r="K69" s="93"/>
      <c r="L69" s="93"/>
      <c r="M69" s="93"/>
      <c r="N69" s="93"/>
      <c r="O69" s="93"/>
      <c r="P69" s="93"/>
      <c r="Q69" s="93"/>
      <c r="R69" s="93"/>
    </row>
    <row r="70" spans="2:18" s="74" customFormat="1" ht="24.95" customHeight="1">
      <c r="B70" s="155"/>
      <c r="C70" s="92"/>
      <c r="D70" s="92"/>
      <c r="E70" s="152"/>
      <c r="F70" s="128"/>
      <c r="G70" s="157"/>
      <c r="H70" s="152"/>
      <c r="I70" s="152"/>
      <c r="J70" s="93"/>
      <c r="K70" s="93"/>
      <c r="L70" s="93"/>
      <c r="M70" s="93"/>
      <c r="N70" s="93"/>
      <c r="O70" s="93"/>
      <c r="P70" s="93"/>
      <c r="Q70" s="93"/>
      <c r="R70" s="93"/>
    </row>
    <row r="71" spans="2:18" s="74" customFormat="1" ht="24.95" customHeight="1">
      <c r="B71" s="155"/>
      <c r="C71" s="92"/>
      <c r="D71" s="92"/>
      <c r="E71" s="152"/>
      <c r="F71" s="128"/>
      <c r="G71" s="157"/>
      <c r="H71" s="152"/>
      <c r="I71" s="152"/>
      <c r="J71" s="93"/>
      <c r="K71" s="93"/>
      <c r="L71" s="93"/>
      <c r="M71" s="93"/>
      <c r="N71" s="93"/>
      <c r="O71" s="93"/>
      <c r="P71" s="93"/>
      <c r="Q71" s="93"/>
      <c r="R71" s="93"/>
    </row>
    <row r="72" spans="2:18" s="74" customFormat="1" ht="24.95" customHeight="1">
      <c r="B72" s="155"/>
      <c r="C72" s="92"/>
      <c r="D72" s="92"/>
      <c r="E72" s="152"/>
      <c r="F72" s="128"/>
      <c r="G72" s="157"/>
      <c r="H72" s="152"/>
      <c r="I72" s="152"/>
      <c r="J72" s="93"/>
      <c r="K72" s="93"/>
      <c r="L72" s="93"/>
      <c r="M72" s="93"/>
      <c r="N72" s="93"/>
      <c r="O72" s="93"/>
      <c r="P72" s="93"/>
      <c r="Q72" s="93"/>
      <c r="R72" s="93"/>
    </row>
    <row r="73" spans="2:18" s="74" customFormat="1" ht="24.95" customHeight="1">
      <c r="B73" s="155"/>
      <c r="C73" s="92"/>
      <c r="D73" s="92"/>
      <c r="E73" s="152"/>
      <c r="F73" s="128"/>
      <c r="G73" s="157"/>
      <c r="H73" s="152"/>
      <c r="I73" s="152"/>
      <c r="J73" s="93"/>
      <c r="K73" s="93"/>
      <c r="L73" s="93"/>
      <c r="M73" s="93"/>
      <c r="N73" s="93"/>
      <c r="O73" s="93"/>
      <c r="P73" s="93"/>
      <c r="Q73" s="93"/>
      <c r="R73" s="93"/>
    </row>
    <row r="74" spans="2:18" s="74" customFormat="1" ht="24.95" customHeight="1">
      <c r="B74" s="155"/>
      <c r="C74" s="92"/>
      <c r="D74" s="92"/>
      <c r="E74" s="152"/>
      <c r="F74" s="158"/>
      <c r="G74" s="157"/>
      <c r="H74" s="152"/>
      <c r="I74" s="152"/>
      <c r="J74" s="93"/>
      <c r="K74" s="93"/>
      <c r="L74" s="93"/>
      <c r="M74" s="93"/>
      <c r="N74" s="93"/>
      <c r="O74" s="93"/>
      <c r="P74" s="93"/>
      <c r="Q74" s="93"/>
      <c r="R74" s="93"/>
    </row>
    <row r="75" spans="2:18" s="74" customFormat="1" ht="24.95" customHeight="1">
      <c r="B75" s="155"/>
      <c r="C75" s="92"/>
      <c r="D75" s="92"/>
      <c r="E75" s="152"/>
      <c r="F75" s="158"/>
      <c r="G75" s="157"/>
      <c r="H75" s="152"/>
      <c r="I75" s="152"/>
      <c r="J75" s="93"/>
      <c r="K75" s="93"/>
      <c r="L75" s="93"/>
      <c r="M75" s="93"/>
      <c r="N75" s="93"/>
      <c r="O75" s="93"/>
      <c r="P75" s="93"/>
      <c r="Q75" s="93"/>
      <c r="R75" s="93"/>
    </row>
    <row r="76" spans="2:18" s="74" customFormat="1" ht="24.95" customHeight="1">
      <c r="B76" s="155"/>
      <c r="C76" s="92"/>
      <c r="D76" s="92"/>
      <c r="E76" s="152"/>
      <c r="F76" s="158"/>
      <c r="G76" s="157"/>
      <c r="H76" s="152"/>
      <c r="I76" s="152"/>
      <c r="J76" s="93"/>
      <c r="K76" s="93"/>
      <c r="L76" s="93"/>
      <c r="M76" s="93"/>
      <c r="N76" s="93"/>
      <c r="O76" s="93"/>
      <c r="P76" s="93"/>
      <c r="Q76" s="93"/>
      <c r="R76" s="93"/>
    </row>
    <row r="77" spans="2:18" s="74" customFormat="1" ht="24.95" customHeight="1">
      <c r="B77" s="155"/>
      <c r="C77" s="92"/>
      <c r="D77" s="92"/>
      <c r="E77" s="152"/>
      <c r="F77" s="158"/>
      <c r="G77" s="157"/>
      <c r="H77" s="152"/>
      <c r="I77" s="152"/>
      <c r="J77" s="93"/>
      <c r="K77" s="93"/>
      <c r="L77" s="93"/>
      <c r="M77" s="93"/>
      <c r="N77" s="93"/>
      <c r="O77" s="93"/>
      <c r="P77" s="93"/>
      <c r="Q77" s="93"/>
      <c r="R77" s="93"/>
    </row>
    <row r="78" spans="2:18" s="74" customFormat="1" ht="24.95" customHeight="1">
      <c r="B78" s="155"/>
      <c r="C78" s="92"/>
      <c r="D78" s="92"/>
      <c r="E78" s="152"/>
      <c r="F78" s="158"/>
      <c r="G78" s="157"/>
      <c r="H78" s="152"/>
      <c r="I78" s="152"/>
      <c r="J78" s="93"/>
      <c r="K78" s="93"/>
      <c r="L78" s="93"/>
      <c r="M78" s="93"/>
      <c r="N78" s="93"/>
      <c r="O78" s="93"/>
      <c r="P78" s="93"/>
      <c r="Q78" s="93"/>
      <c r="R78" s="93"/>
    </row>
    <row r="79" spans="2:18" s="74" customFormat="1" ht="24.95" customHeight="1">
      <c r="B79" s="155"/>
      <c r="C79" s="92"/>
      <c r="D79" s="92"/>
      <c r="E79" s="152"/>
      <c r="F79" s="158"/>
      <c r="G79" s="157"/>
      <c r="H79" s="152"/>
      <c r="I79" s="152"/>
      <c r="J79" s="93"/>
      <c r="K79" s="93"/>
      <c r="L79" s="93"/>
      <c r="M79" s="93"/>
      <c r="N79" s="93"/>
      <c r="O79" s="93"/>
      <c r="P79" s="93"/>
      <c r="Q79" s="93"/>
      <c r="R79" s="93"/>
    </row>
    <row r="80" spans="2:18" s="74" customFormat="1" ht="24.95" customHeight="1">
      <c r="B80" s="155"/>
      <c r="C80" s="92"/>
      <c r="D80" s="92"/>
      <c r="E80" s="152"/>
      <c r="F80" s="158"/>
      <c r="G80" s="157"/>
      <c r="H80" s="152"/>
      <c r="I80" s="152"/>
      <c r="J80" s="93"/>
      <c r="K80" s="93"/>
      <c r="L80" s="93"/>
      <c r="M80" s="93"/>
      <c r="N80" s="93"/>
      <c r="O80" s="93"/>
      <c r="P80" s="93"/>
      <c r="Q80" s="93"/>
      <c r="R80" s="93"/>
    </row>
    <row r="81" spans="2:18" s="74" customFormat="1" ht="24.95" customHeight="1">
      <c r="B81" s="155"/>
      <c r="C81" s="92"/>
      <c r="D81" s="92"/>
      <c r="E81" s="152"/>
      <c r="F81" s="158"/>
      <c r="G81" s="157"/>
      <c r="H81" s="152"/>
      <c r="I81" s="152"/>
      <c r="J81" s="93"/>
      <c r="K81" s="93"/>
      <c r="L81" s="93"/>
      <c r="M81" s="93"/>
      <c r="N81" s="93"/>
      <c r="O81" s="93"/>
      <c r="P81" s="93"/>
      <c r="Q81" s="93"/>
      <c r="R81" s="93"/>
    </row>
    <row r="82" spans="2:18" s="74" customFormat="1" ht="24.95" customHeight="1">
      <c r="B82" s="155"/>
      <c r="C82" s="92"/>
      <c r="D82" s="92"/>
      <c r="E82" s="152"/>
      <c r="F82" s="158"/>
      <c r="G82" s="157"/>
      <c r="H82" s="152"/>
      <c r="I82" s="152"/>
      <c r="J82" s="93"/>
      <c r="K82" s="93"/>
      <c r="L82" s="93"/>
      <c r="M82" s="93"/>
      <c r="N82" s="93"/>
      <c r="O82" s="93"/>
      <c r="P82" s="93"/>
      <c r="Q82" s="93"/>
      <c r="R82" s="93"/>
    </row>
    <row r="83" spans="2:18" s="74" customFormat="1" ht="24.95" customHeight="1">
      <c r="B83" s="155"/>
      <c r="C83" s="92"/>
      <c r="D83" s="92"/>
      <c r="E83" s="152"/>
      <c r="F83" s="158"/>
      <c r="G83" s="157"/>
      <c r="H83" s="152"/>
      <c r="I83" s="152"/>
      <c r="J83" s="93"/>
      <c r="K83" s="93"/>
      <c r="L83" s="93"/>
      <c r="M83" s="93"/>
      <c r="N83" s="93"/>
      <c r="O83" s="93"/>
      <c r="P83" s="93"/>
      <c r="Q83" s="93"/>
      <c r="R83" s="93"/>
    </row>
    <row r="84" spans="2:18" s="74" customFormat="1" ht="24.95" customHeight="1">
      <c r="B84" s="155"/>
      <c r="C84" s="92"/>
      <c r="D84" s="92"/>
      <c r="E84" s="152"/>
      <c r="F84" s="158"/>
      <c r="G84" s="157"/>
      <c r="H84" s="152"/>
      <c r="I84" s="152"/>
      <c r="J84" s="93"/>
      <c r="K84" s="93"/>
      <c r="L84" s="93"/>
      <c r="M84" s="93"/>
      <c r="N84" s="93"/>
      <c r="O84" s="93"/>
      <c r="P84" s="93"/>
      <c r="Q84" s="93"/>
      <c r="R84" s="93"/>
    </row>
    <row r="85" spans="2:18" s="74" customFormat="1" ht="24.95" customHeight="1">
      <c r="B85" s="155"/>
      <c r="C85" s="92"/>
      <c r="D85" s="92"/>
      <c r="E85" s="152"/>
      <c r="F85" s="158"/>
      <c r="G85" s="157"/>
      <c r="H85" s="152"/>
      <c r="I85" s="152"/>
      <c r="J85" s="93"/>
      <c r="K85" s="93"/>
      <c r="L85" s="93"/>
      <c r="M85" s="93"/>
      <c r="N85" s="93"/>
      <c r="O85" s="93"/>
      <c r="P85" s="93"/>
      <c r="Q85" s="93"/>
      <c r="R85" s="93"/>
    </row>
    <row r="86" spans="2:18" s="74" customFormat="1" ht="24.95" customHeight="1">
      <c r="B86" s="155"/>
      <c r="C86" s="92"/>
      <c r="D86" s="92"/>
      <c r="E86" s="152"/>
      <c r="F86" s="158"/>
      <c r="G86" s="157"/>
      <c r="H86" s="152"/>
      <c r="I86" s="152"/>
      <c r="J86" s="93"/>
      <c r="K86" s="93"/>
      <c r="L86" s="93"/>
      <c r="M86" s="93"/>
      <c r="N86" s="93"/>
      <c r="O86" s="93"/>
      <c r="P86" s="93"/>
      <c r="Q86" s="93"/>
      <c r="R86" s="93"/>
    </row>
    <row r="87" spans="2:18" s="74" customFormat="1" ht="24.95" customHeight="1">
      <c r="B87" s="155"/>
      <c r="C87" s="92"/>
      <c r="D87" s="92"/>
      <c r="E87" s="152"/>
      <c r="F87" s="158"/>
      <c r="G87" s="157"/>
      <c r="H87" s="152"/>
      <c r="I87" s="152"/>
      <c r="J87" s="93"/>
      <c r="K87" s="93"/>
      <c r="L87" s="93"/>
      <c r="M87" s="93"/>
      <c r="N87" s="93"/>
      <c r="O87" s="93"/>
      <c r="P87" s="93"/>
      <c r="Q87" s="93"/>
      <c r="R87" s="93"/>
    </row>
    <row r="88" spans="2:18" s="74" customFormat="1" ht="24.95" customHeight="1">
      <c r="B88" s="155"/>
      <c r="C88" s="92"/>
      <c r="D88" s="92"/>
      <c r="E88" s="152"/>
      <c r="F88" s="158"/>
      <c r="G88" s="157"/>
      <c r="H88" s="152"/>
      <c r="I88" s="152"/>
      <c r="J88" s="93"/>
      <c r="K88" s="93"/>
      <c r="L88" s="93"/>
      <c r="M88" s="93"/>
      <c r="N88" s="93"/>
      <c r="O88" s="93"/>
      <c r="P88" s="93"/>
      <c r="Q88" s="93"/>
      <c r="R88" s="93"/>
    </row>
    <row r="89" spans="2:18" s="74" customFormat="1" ht="24.95" customHeight="1">
      <c r="B89" s="155"/>
      <c r="C89" s="92"/>
      <c r="D89" s="92"/>
      <c r="E89" s="152"/>
      <c r="F89" s="158"/>
      <c r="G89" s="157"/>
      <c r="H89" s="152"/>
      <c r="I89" s="152"/>
      <c r="J89" s="93"/>
      <c r="K89" s="93"/>
      <c r="L89" s="93"/>
      <c r="M89" s="93"/>
      <c r="N89" s="93"/>
      <c r="O89" s="93"/>
      <c r="P89" s="93"/>
      <c r="Q89" s="93"/>
      <c r="R89" s="93"/>
    </row>
    <row r="90" spans="2:18" s="74" customFormat="1" ht="24.95" customHeight="1">
      <c r="B90" s="155"/>
      <c r="C90" s="92"/>
      <c r="D90" s="92"/>
      <c r="E90" s="152"/>
      <c r="F90" s="158"/>
      <c r="G90" s="157"/>
      <c r="H90" s="152"/>
      <c r="I90" s="152"/>
      <c r="J90" s="93"/>
      <c r="K90" s="93"/>
      <c r="L90" s="93"/>
      <c r="M90" s="93"/>
      <c r="N90" s="93"/>
      <c r="O90" s="93"/>
      <c r="P90" s="93"/>
      <c r="Q90" s="93"/>
      <c r="R90" s="93"/>
    </row>
    <row r="91" spans="2:18" s="74" customFormat="1" ht="24.95" customHeight="1">
      <c r="B91" s="155"/>
      <c r="C91" s="92"/>
      <c r="D91" s="92"/>
      <c r="E91" s="152"/>
      <c r="F91" s="158"/>
      <c r="G91" s="157"/>
      <c r="H91" s="152"/>
      <c r="I91" s="152"/>
      <c r="J91" s="93"/>
      <c r="K91" s="93"/>
      <c r="L91" s="93"/>
      <c r="M91" s="93"/>
      <c r="N91" s="93"/>
      <c r="O91" s="93"/>
      <c r="P91" s="93"/>
      <c r="Q91" s="93"/>
      <c r="R91" s="93"/>
    </row>
    <row r="92" spans="2:18" s="74" customFormat="1" ht="24.95" customHeight="1">
      <c r="B92" s="155"/>
      <c r="C92" s="92"/>
      <c r="D92" s="92"/>
      <c r="E92" s="152"/>
      <c r="F92" s="158"/>
      <c r="G92" s="157"/>
      <c r="H92" s="152"/>
      <c r="I92" s="152"/>
      <c r="J92" s="93"/>
      <c r="K92" s="93"/>
      <c r="L92" s="93"/>
      <c r="M92" s="93"/>
      <c r="N92" s="93"/>
      <c r="O92" s="93"/>
      <c r="P92" s="93"/>
      <c r="Q92" s="93"/>
      <c r="R92" s="93"/>
    </row>
    <row r="93" spans="2:18" s="74" customFormat="1" ht="24.95" customHeight="1">
      <c r="B93" s="155"/>
      <c r="C93" s="92"/>
      <c r="D93" s="92"/>
      <c r="E93" s="152"/>
      <c r="F93" s="158"/>
      <c r="G93" s="157"/>
      <c r="H93" s="152"/>
      <c r="I93" s="152"/>
      <c r="J93" s="93"/>
      <c r="K93" s="93"/>
      <c r="L93" s="93"/>
      <c r="M93" s="93"/>
      <c r="N93" s="93"/>
      <c r="O93" s="93"/>
      <c r="P93" s="93"/>
      <c r="Q93" s="93"/>
      <c r="R93" s="93"/>
    </row>
    <row r="94" spans="2:18" s="74" customFormat="1" ht="24.95" customHeight="1">
      <c r="B94" s="155"/>
      <c r="C94" s="92"/>
      <c r="D94" s="92"/>
      <c r="E94" s="152"/>
      <c r="F94" s="158"/>
      <c r="G94" s="157"/>
      <c r="H94" s="152"/>
      <c r="I94" s="152"/>
      <c r="J94" s="93"/>
      <c r="K94" s="93"/>
      <c r="L94" s="93"/>
      <c r="M94" s="93"/>
      <c r="N94" s="93"/>
      <c r="O94" s="93"/>
      <c r="P94" s="93"/>
      <c r="Q94" s="93"/>
      <c r="R94" s="93"/>
    </row>
    <row r="95" spans="2:18" s="74" customFormat="1" ht="24.95" customHeight="1">
      <c r="B95" s="155"/>
      <c r="C95" s="92"/>
      <c r="D95" s="92"/>
      <c r="E95" s="152"/>
      <c r="F95" s="158"/>
      <c r="G95" s="157"/>
      <c r="H95" s="152"/>
      <c r="I95" s="152"/>
      <c r="J95" s="93"/>
      <c r="K95" s="93"/>
      <c r="L95" s="93"/>
      <c r="M95" s="93"/>
      <c r="N95" s="93"/>
      <c r="O95" s="93"/>
      <c r="P95" s="93"/>
      <c r="Q95" s="93"/>
      <c r="R95" s="93"/>
    </row>
    <row r="96" spans="2:18" s="74" customFormat="1" ht="24.95" customHeight="1">
      <c r="B96" s="155"/>
      <c r="C96" s="92"/>
      <c r="D96" s="92"/>
      <c r="E96" s="152"/>
      <c r="F96" s="158"/>
      <c r="G96" s="157"/>
      <c r="H96" s="152"/>
      <c r="I96" s="152"/>
      <c r="J96" s="93"/>
      <c r="K96" s="93"/>
      <c r="L96" s="93"/>
      <c r="M96" s="93"/>
      <c r="N96" s="93"/>
      <c r="O96" s="93"/>
      <c r="P96" s="93"/>
      <c r="Q96" s="93"/>
      <c r="R96" s="93"/>
    </row>
    <row r="97" spans="2:18" s="74" customFormat="1" ht="24.95" customHeight="1">
      <c r="B97" s="155"/>
      <c r="C97" s="92"/>
      <c r="D97" s="92"/>
      <c r="E97" s="152"/>
      <c r="F97" s="158"/>
      <c r="G97" s="157"/>
      <c r="H97" s="152"/>
      <c r="I97" s="152"/>
      <c r="J97" s="93"/>
      <c r="K97" s="93"/>
      <c r="L97" s="93"/>
      <c r="M97" s="93"/>
      <c r="N97" s="93"/>
      <c r="O97" s="93"/>
      <c r="P97" s="93"/>
      <c r="Q97" s="93"/>
      <c r="R97" s="93"/>
    </row>
    <row r="98" spans="2:18" s="74" customFormat="1" ht="24.95" customHeight="1">
      <c r="B98" s="155"/>
      <c r="C98" s="92"/>
      <c r="D98" s="92"/>
      <c r="E98" s="152"/>
      <c r="F98" s="158"/>
      <c r="G98" s="157"/>
      <c r="H98" s="152"/>
      <c r="I98" s="152"/>
      <c r="J98" s="93"/>
      <c r="K98" s="93"/>
      <c r="L98" s="93"/>
      <c r="M98" s="93"/>
      <c r="N98" s="93"/>
      <c r="O98" s="93"/>
      <c r="P98" s="93"/>
      <c r="Q98" s="93"/>
      <c r="R98" s="93"/>
    </row>
    <row r="99" spans="2:18" s="74" customFormat="1" ht="24.95" customHeight="1">
      <c r="B99" s="155"/>
      <c r="C99" s="92"/>
      <c r="D99" s="92"/>
      <c r="E99" s="152"/>
      <c r="F99" s="158"/>
      <c r="G99" s="157"/>
      <c r="H99" s="152"/>
      <c r="I99" s="152"/>
      <c r="J99" s="93"/>
      <c r="K99" s="93"/>
      <c r="L99" s="93"/>
      <c r="M99" s="93"/>
      <c r="N99" s="93"/>
      <c r="O99" s="93"/>
      <c r="P99" s="93"/>
      <c r="Q99" s="93"/>
      <c r="R99" s="93"/>
    </row>
    <row r="100" spans="2:18" s="74" customFormat="1" ht="24.95" customHeight="1">
      <c r="B100" s="155"/>
      <c r="C100" s="92"/>
      <c r="D100" s="92"/>
      <c r="E100" s="152"/>
      <c r="F100" s="158"/>
      <c r="G100" s="157"/>
      <c r="H100" s="152"/>
      <c r="I100" s="152"/>
      <c r="J100" s="93"/>
      <c r="K100" s="93"/>
      <c r="L100" s="93"/>
      <c r="M100" s="93"/>
      <c r="N100" s="93"/>
      <c r="O100" s="93"/>
      <c r="P100" s="93"/>
      <c r="Q100" s="93"/>
      <c r="R100" s="93"/>
    </row>
    <row r="101" spans="2:18" s="74" customFormat="1" ht="24.95" customHeight="1">
      <c r="B101" s="155"/>
      <c r="C101" s="92"/>
      <c r="D101" s="92"/>
      <c r="E101" s="152"/>
      <c r="F101" s="158"/>
      <c r="G101" s="157"/>
      <c r="H101" s="152"/>
      <c r="I101" s="152"/>
      <c r="J101" s="93"/>
      <c r="K101" s="93"/>
      <c r="L101" s="93"/>
      <c r="M101" s="93"/>
      <c r="N101" s="93"/>
      <c r="O101" s="93"/>
      <c r="P101" s="93"/>
      <c r="Q101" s="93"/>
      <c r="R101" s="93"/>
    </row>
    <row r="102" spans="2:18" s="74" customFormat="1" ht="24.95" customHeight="1">
      <c r="B102" s="155"/>
      <c r="C102" s="92"/>
      <c r="D102" s="92"/>
      <c r="E102" s="152"/>
      <c r="F102" s="158"/>
      <c r="G102" s="157"/>
      <c r="H102" s="152"/>
      <c r="I102" s="152"/>
      <c r="J102" s="93"/>
      <c r="K102" s="93"/>
      <c r="L102" s="93"/>
      <c r="M102" s="93"/>
      <c r="N102" s="93"/>
      <c r="O102" s="93"/>
      <c r="P102" s="93"/>
      <c r="Q102" s="93"/>
      <c r="R102" s="93"/>
    </row>
    <row r="103" spans="2:18" s="74" customFormat="1" ht="24.95" customHeight="1">
      <c r="B103" s="155"/>
      <c r="C103" s="92"/>
      <c r="D103" s="92"/>
      <c r="E103" s="152"/>
      <c r="F103" s="158"/>
      <c r="G103" s="157"/>
      <c r="H103" s="152"/>
      <c r="I103" s="152"/>
      <c r="J103" s="93"/>
      <c r="K103" s="93"/>
      <c r="L103" s="93"/>
      <c r="M103" s="93"/>
      <c r="N103" s="93"/>
      <c r="O103" s="93"/>
      <c r="P103" s="93"/>
      <c r="Q103" s="93"/>
      <c r="R103" s="93"/>
    </row>
    <row r="104" spans="2:18" s="74" customFormat="1" ht="24.95" customHeight="1">
      <c r="B104" s="155"/>
      <c r="C104" s="92"/>
      <c r="D104" s="92"/>
      <c r="E104" s="152"/>
      <c r="F104" s="158"/>
      <c r="G104" s="157"/>
      <c r="H104" s="152"/>
      <c r="I104" s="152"/>
      <c r="J104" s="93"/>
      <c r="K104" s="93"/>
      <c r="L104" s="93"/>
      <c r="M104" s="93"/>
      <c r="N104" s="93"/>
      <c r="O104" s="93"/>
      <c r="P104" s="93"/>
      <c r="Q104" s="93"/>
      <c r="R104" s="93"/>
    </row>
    <row r="105" spans="2:18" s="74" customFormat="1" ht="24.95" customHeight="1">
      <c r="B105" s="155"/>
      <c r="C105" s="92"/>
      <c r="D105" s="92"/>
      <c r="E105" s="152"/>
      <c r="F105" s="158"/>
      <c r="G105" s="157"/>
      <c r="H105" s="152"/>
      <c r="I105" s="152"/>
      <c r="J105" s="93"/>
      <c r="K105" s="93"/>
      <c r="L105" s="93"/>
      <c r="M105" s="93"/>
      <c r="N105" s="93"/>
      <c r="O105" s="93"/>
      <c r="P105" s="93"/>
      <c r="Q105" s="93"/>
      <c r="R105" s="93"/>
    </row>
    <row r="106" spans="2:18" s="74" customFormat="1" ht="24.95" customHeight="1">
      <c r="B106" s="155"/>
      <c r="C106" s="92"/>
      <c r="D106" s="92"/>
      <c r="E106" s="152"/>
      <c r="F106" s="158"/>
      <c r="G106" s="157"/>
      <c r="H106" s="152"/>
      <c r="I106" s="152"/>
      <c r="J106" s="93"/>
      <c r="K106" s="93"/>
      <c r="L106" s="93"/>
      <c r="M106" s="93"/>
      <c r="N106" s="93"/>
      <c r="O106" s="93"/>
      <c r="P106" s="93"/>
      <c r="Q106" s="93"/>
      <c r="R106" s="93"/>
    </row>
    <row r="107" spans="2:18" s="74" customFormat="1" ht="24.95" customHeight="1">
      <c r="B107" s="155"/>
      <c r="C107" s="92"/>
      <c r="D107" s="92"/>
      <c r="E107" s="152"/>
      <c r="F107" s="158"/>
      <c r="G107" s="157"/>
      <c r="H107" s="152"/>
      <c r="I107" s="152"/>
      <c r="J107" s="93"/>
      <c r="K107" s="93"/>
      <c r="L107" s="93"/>
      <c r="M107" s="93"/>
      <c r="N107" s="93"/>
      <c r="O107" s="93"/>
      <c r="P107" s="93"/>
      <c r="Q107" s="93"/>
      <c r="R107" s="93"/>
    </row>
    <row r="108" spans="2:18" s="74" customFormat="1" ht="24.95" customHeight="1">
      <c r="B108" s="155"/>
      <c r="C108" s="92"/>
      <c r="D108" s="92"/>
      <c r="E108" s="152"/>
      <c r="F108" s="158"/>
      <c r="G108" s="157"/>
      <c r="H108" s="152"/>
      <c r="I108" s="152"/>
      <c r="J108" s="93"/>
      <c r="K108" s="93"/>
      <c r="L108" s="93"/>
      <c r="M108" s="93"/>
      <c r="N108" s="93"/>
      <c r="O108" s="93"/>
      <c r="P108" s="93"/>
      <c r="Q108" s="93"/>
      <c r="R108" s="93"/>
    </row>
    <row r="109" spans="2:18" s="74" customFormat="1" ht="24.95" customHeight="1">
      <c r="B109" s="155"/>
      <c r="C109" s="92"/>
      <c r="D109" s="92"/>
      <c r="E109" s="152"/>
      <c r="F109" s="158"/>
      <c r="G109" s="157"/>
      <c r="H109" s="152"/>
      <c r="I109" s="152"/>
      <c r="J109" s="93"/>
      <c r="K109" s="93"/>
      <c r="L109" s="93"/>
      <c r="M109" s="93"/>
      <c r="N109" s="93"/>
      <c r="O109" s="93"/>
      <c r="P109" s="93"/>
      <c r="Q109" s="93"/>
      <c r="R109" s="93"/>
    </row>
    <row r="110" spans="2:18" s="74" customFormat="1" ht="24.95" customHeight="1">
      <c r="B110" s="155"/>
      <c r="C110" s="92"/>
      <c r="D110" s="92"/>
      <c r="E110" s="152"/>
      <c r="F110" s="158"/>
      <c r="G110" s="157"/>
      <c r="H110" s="152"/>
      <c r="I110" s="152"/>
      <c r="J110" s="93"/>
      <c r="K110" s="93"/>
      <c r="L110" s="93"/>
      <c r="M110" s="93"/>
      <c r="N110" s="93"/>
      <c r="O110" s="93"/>
      <c r="P110" s="93"/>
      <c r="Q110" s="93"/>
      <c r="R110" s="93"/>
    </row>
    <row r="111" spans="2:18" s="74" customFormat="1" ht="24.95" customHeight="1">
      <c r="B111" s="155"/>
      <c r="C111" s="92"/>
      <c r="D111" s="92"/>
      <c r="E111" s="152"/>
      <c r="F111" s="158"/>
      <c r="G111" s="157"/>
      <c r="H111" s="152"/>
      <c r="I111" s="152"/>
      <c r="J111" s="93"/>
      <c r="K111" s="93"/>
      <c r="L111" s="93"/>
      <c r="M111" s="93"/>
      <c r="N111" s="93"/>
      <c r="O111" s="93"/>
      <c r="P111" s="93"/>
      <c r="Q111" s="93"/>
      <c r="R111" s="93"/>
    </row>
    <row r="112" spans="2:18" s="74" customFormat="1" ht="24.95" customHeight="1">
      <c r="B112" s="155"/>
      <c r="C112" s="92"/>
      <c r="D112" s="92"/>
      <c r="E112" s="152"/>
      <c r="F112" s="158"/>
      <c r="G112" s="157"/>
      <c r="H112" s="152"/>
      <c r="I112" s="152"/>
      <c r="J112" s="93"/>
      <c r="K112" s="93"/>
      <c r="L112" s="93"/>
      <c r="M112" s="93"/>
      <c r="N112" s="93"/>
      <c r="O112" s="93"/>
      <c r="P112" s="93"/>
      <c r="Q112" s="93"/>
      <c r="R112" s="93"/>
    </row>
    <row r="113" spans="2:18" s="74" customFormat="1" ht="24.95" customHeight="1">
      <c r="B113" s="155"/>
      <c r="C113" s="92"/>
      <c r="D113" s="92"/>
      <c r="E113" s="152"/>
      <c r="F113" s="158"/>
      <c r="G113" s="157"/>
      <c r="H113" s="152"/>
      <c r="I113" s="152"/>
      <c r="J113" s="93"/>
      <c r="K113" s="93"/>
      <c r="L113" s="93"/>
      <c r="M113" s="93"/>
      <c r="N113" s="93"/>
      <c r="O113" s="93"/>
      <c r="P113" s="93"/>
      <c r="Q113" s="93"/>
      <c r="R113" s="93"/>
    </row>
    <row r="114" spans="2:18" s="74" customFormat="1" ht="24.95" customHeight="1">
      <c r="B114" s="155"/>
      <c r="C114" s="92"/>
      <c r="D114" s="92"/>
      <c r="E114" s="152"/>
      <c r="F114" s="158"/>
      <c r="G114" s="157"/>
      <c r="H114" s="152"/>
      <c r="I114" s="152"/>
      <c r="J114" s="93"/>
      <c r="K114" s="93"/>
      <c r="L114" s="93"/>
      <c r="M114" s="93"/>
      <c r="N114" s="93"/>
      <c r="O114" s="93"/>
      <c r="P114" s="93"/>
      <c r="Q114" s="93"/>
      <c r="R114" s="93"/>
    </row>
    <row r="115" spans="2:18" s="74" customFormat="1" ht="24.95" customHeight="1">
      <c r="B115" s="155"/>
      <c r="C115" s="92"/>
      <c r="D115" s="92"/>
      <c r="E115" s="152"/>
      <c r="F115" s="158"/>
      <c r="G115" s="157"/>
      <c r="H115" s="152"/>
      <c r="I115" s="152"/>
      <c r="J115" s="93"/>
      <c r="K115" s="93"/>
      <c r="L115" s="93"/>
      <c r="M115" s="93"/>
      <c r="N115" s="93"/>
      <c r="O115" s="93"/>
      <c r="P115" s="93"/>
      <c r="Q115" s="93"/>
      <c r="R115" s="93"/>
    </row>
    <row r="116" spans="2:18" s="74" customFormat="1" ht="24.95" customHeight="1">
      <c r="B116" s="155"/>
      <c r="C116" s="92"/>
      <c r="D116" s="92"/>
      <c r="E116" s="152"/>
      <c r="F116" s="158"/>
      <c r="G116" s="157"/>
      <c r="H116" s="152"/>
      <c r="I116" s="152"/>
      <c r="J116" s="93"/>
      <c r="K116" s="93"/>
      <c r="L116" s="93"/>
      <c r="M116" s="93"/>
      <c r="N116" s="93"/>
      <c r="O116" s="93"/>
      <c r="P116" s="93"/>
      <c r="Q116" s="93"/>
      <c r="R116" s="93"/>
    </row>
    <row r="117" spans="2:18" s="74" customFormat="1" ht="24.95" customHeight="1">
      <c r="B117" s="155"/>
      <c r="C117" s="92"/>
      <c r="D117" s="92"/>
      <c r="E117" s="152"/>
      <c r="F117" s="158"/>
      <c r="G117" s="157"/>
      <c r="H117" s="152"/>
      <c r="I117" s="152"/>
      <c r="J117" s="93"/>
      <c r="K117" s="93"/>
      <c r="L117" s="93"/>
      <c r="M117" s="93"/>
      <c r="N117" s="93"/>
      <c r="O117" s="93"/>
      <c r="P117" s="93"/>
      <c r="Q117" s="93"/>
      <c r="R117" s="93"/>
    </row>
    <row r="118" spans="2:18" s="74" customFormat="1" ht="24.95" customHeight="1">
      <c r="B118" s="155"/>
      <c r="C118" s="92"/>
      <c r="D118" s="92"/>
      <c r="E118" s="152"/>
      <c r="F118" s="158"/>
      <c r="G118" s="157"/>
      <c r="H118" s="152"/>
      <c r="I118" s="152"/>
      <c r="J118" s="93"/>
      <c r="K118" s="93"/>
      <c r="L118" s="93"/>
      <c r="M118" s="93"/>
      <c r="N118" s="93"/>
      <c r="O118" s="93"/>
      <c r="P118" s="93"/>
      <c r="Q118" s="93"/>
      <c r="R118" s="93"/>
    </row>
    <row r="119" spans="2:18" s="74" customFormat="1" ht="24.95" customHeight="1">
      <c r="B119" s="155"/>
      <c r="C119" s="92"/>
      <c r="D119" s="92"/>
      <c r="E119" s="152"/>
      <c r="F119" s="158"/>
      <c r="G119" s="157"/>
      <c r="H119" s="152"/>
      <c r="I119" s="152"/>
      <c r="J119" s="93"/>
      <c r="K119" s="93"/>
      <c r="L119" s="93"/>
      <c r="M119" s="93"/>
      <c r="N119" s="93"/>
      <c r="O119" s="93"/>
      <c r="P119" s="93"/>
      <c r="Q119" s="93"/>
      <c r="R119" s="93"/>
    </row>
    <row r="120" spans="2:18" s="74" customFormat="1" ht="24.95" customHeight="1">
      <c r="B120" s="155"/>
      <c r="C120" s="92"/>
      <c r="D120" s="92"/>
      <c r="E120" s="152"/>
      <c r="F120" s="158"/>
      <c r="G120" s="157"/>
      <c r="H120" s="152"/>
      <c r="I120" s="152"/>
      <c r="J120" s="93"/>
      <c r="K120" s="93"/>
      <c r="L120" s="93"/>
      <c r="M120" s="93"/>
      <c r="N120" s="93"/>
      <c r="O120" s="93"/>
      <c r="P120" s="93"/>
      <c r="Q120" s="93"/>
      <c r="R120" s="93"/>
    </row>
    <row r="121" spans="2:18" s="74" customFormat="1" ht="24.95" customHeight="1">
      <c r="B121" s="155"/>
      <c r="C121" s="92"/>
      <c r="D121" s="92"/>
      <c r="E121" s="152"/>
      <c r="F121" s="158"/>
      <c r="G121" s="157"/>
      <c r="H121" s="152"/>
      <c r="I121" s="152"/>
      <c r="J121" s="93"/>
      <c r="K121" s="93"/>
      <c r="L121" s="93"/>
      <c r="M121" s="93"/>
      <c r="N121" s="93"/>
      <c r="O121" s="93"/>
      <c r="P121" s="93"/>
      <c r="Q121" s="93"/>
      <c r="R121" s="93"/>
    </row>
    <row r="122" spans="2:18" s="74" customFormat="1" ht="24.95" customHeight="1">
      <c r="B122" s="155"/>
      <c r="C122" s="92"/>
      <c r="D122" s="92"/>
      <c r="E122" s="152"/>
      <c r="F122" s="158"/>
      <c r="G122" s="157"/>
      <c r="H122" s="152"/>
      <c r="I122" s="152"/>
      <c r="J122" s="93"/>
      <c r="K122" s="93"/>
      <c r="L122" s="93"/>
      <c r="M122" s="93"/>
      <c r="N122" s="93"/>
      <c r="O122" s="93"/>
      <c r="P122" s="93"/>
      <c r="Q122" s="93"/>
      <c r="R122" s="93"/>
    </row>
    <row r="123" spans="2:18" s="74" customFormat="1" ht="24.95" customHeight="1">
      <c r="B123" s="155"/>
      <c r="C123" s="92"/>
      <c r="D123" s="92"/>
      <c r="E123" s="152"/>
      <c r="F123" s="158"/>
      <c r="G123" s="157"/>
      <c r="H123" s="152"/>
      <c r="I123" s="152"/>
      <c r="J123" s="93"/>
      <c r="K123" s="93"/>
      <c r="L123" s="93"/>
      <c r="M123" s="93"/>
      <c r="N123" s="93"/>
      <c r="O123" s="93"/>
      <c r="P123" s="93"/>
      <c r="Q123" s="93"/>
      <c r="R123" s="93"/>
    </row>
    <row r="124" spans="2:18" s="74" customFormat="1" ht="24.95" customHeight="1">
      <c r="B124" s="155"/>
      <c r="C124" s="92"/>
      <c r="D124" s="92"/>
      <c r="E124" s="152"/>
      <c r="F124" s="158"/>
      <c r="G124" s="157"/>
      <c r="H124" s="152"/>
      <c r="I124" s="152"/>
      <c r="J124" s="93"/>
      <c r="K124" s="93"/>
      <c r="L124" s="93"/>
      <c r="M124" s="93"/>
      <c r="N124" s="93"/>
      <c r="O124" s="93"/>
      <c r="P124" s="93"/>
      <c r="Q124" s="93"/>
      <c r="R124" s="93"/>
    </row>
    <row r="125" spans="2:18" s="74" customFormat="1" ht="24.95" customHeight="1">
      <c r="B125" s="155"/>
      <c r="C125" s="92"/>
      <c r="D125" s="92"/>
      <c r="E125" s="152"/>
      <c r="F125" s="158"/>
      <c r="G125" s="157"/>
      <c r="H125" s="152"/>
      <c r="I125" s="152"/>
      <c r="J125" s="93"/>
      <c r="K125" s="93"/>
      <c r="L125" s="93"/>
      <c r="M125" s="93"/>
      <c r="N125" s="93"/>
      <c r="O125" s="93"/>
      <c r="P125" s="93"/>
      <c r="Q125" s="93"/>
      <c r="R125" s="93"/>
    </row>
    <row r="126" spans="2:18" s="74" customFormat="1" ht="24.95" customHeight="1">
      <c r="B126" s="155"/>
      <c r="C126" s="92"/>
      <c r="D126" s="92"/>
      <c r="E126" s="152"/>
      <c r="F126" s="158"/>
      <c r="G126" s="157"/>
      <c r="H126" s="152"/>
      <c r="I126" s="152"/>
      <c r="J126" s="93"/>
      <c r="K126" s="93"/>
      <c r="L126" s="93"/>
      <c r="M126" s="93"/>
      <c r="N126" s="93"/>
      <c r="O126" s="93"/>
      <c r="P126" s="93"/>
      <c r="Q126" s="93"/>
      <c r="R126" s="93"/>
    </row>
    <row r="127" spans="2:18" s="74" customFormat="1" ht="24.95" customHeight="1">
      <c r="B127" s="155"/>
      <c r="C127" s="92"/>
      <c r="D127" s="92"/>
      <c r="E127" s="152"/>
      <c r="F127" s="158"/>
      <c r="G127" s="157"/>
      <c r="H127" s="152"/>
      <c r="I127" s="152"/>
      <c r="J127" s="93"/>
      <c r="K127" s="93"/>
      <c r="L127" s="93"/>
      <c r="M127" s="93"/>
      <c r="N127" s="93"/>
      <c r="O127" s="93"/>
      <c r="P127" s="93"/>
      <c r="Q127" s="93"/>
      <c r="R127" s="93"/>
    </row>
    <row r="128" spans="2:18" s="74" customFormat="1" ht="24.95" customHeight="1">
      <c r="B128" s="155"/>
      <c r="C128" s="92"/>
      <c r="D128" s="92"/>
      <c r="E128" s="152"/>
      <c r="F128" s="158"/>
      <c r="G128" s="157"/>
      <c r="H128" s="152"/>
      <c r="I128" s="152"/>
      <c r="J128" s="93"/>
      <c r="K128" s="93"/>
      <c r="L128" s="93"/>
      <c r="M128" s="93"/>
      <c r="N128" s="93"/>
      <c r="O128" s="93"/>
      <c r="P128" s="93"/>
      <c r="Q128" s="93"/>
      <c r="R128" s="93"/>
    </row>
    <row r="129" spans="2:18" s="74" customFormat="1" ht="24.95" customHeight="1">
      <c r="B129" s="155"/>
      <c r="C129" s="92"/>
      <c r="D129" s="92"/>
      <c r="E129" s="152"/>
      <c r="F129" s="158"/>
      <c r="G129" s="157"/>
      <c r="H129" s="152"/>
      <c r="I129" s="152"/>
      <c r="J129" s="93"/>
      <c r="K129" s="93"/>
      <c r="L129" s="93"/>
      <c r="M129" s="93"/>
      <c r="N129" s="93"/>
      <c r="O129" s="93"/>
      <c r="P129" s="93"/>
      <c r="Q129" s="93"/>
      <c r="R129" s="93"/>
    </row>
    <row r="130" spans="2:18" s="74" customFormat="1" ht="24.95" customHeight="1">
      <c r="B130" s="155"/>
      <c r="C130" s="92"/>
      <c r="D130" s="92"/>
      <c r="E130" s="152"/>
      <c r="F130" s="158"/>
      <c r="G130" s="157"/>
      <c r="H130" s="152"/>
      <c r="I130" s="152"/>
      <c r="J130" s="93"/>
      <c r="K130" s="93"/>
      <c r="L130" s="93"/>
      <c r="M130" s="93"/>
      <c r="N130" s="93"/>
      <c r="O130" s="93"/>
      <c r="P130" s="93"/>
      <c r="Q130" s="93"/>
      <c r="R130" s="93"/>
    </row>
    <row r="131" spans="2:18" s="74" customFormat="1" ht="24.95" customHeight="1">
      <c r="B131" s="155"/>
      <c r="C131" s="92"/>
      <c r="D131" s="92"/>
      <c r="E131" s="152"/>
      <c r="F131" s="158"/>
      <c r="G131" s="157"/>
      <c r="H131" s="152"/>
      <c r="I131" s="152"/>
      <c r="J131" s="93"/>
      <c r="K131" s="93"/>
      <c r="L131" s="93"/>
      <c r="M131" s="93"/>
      <c r="N131" s="93"/>
      <c r="O131" s="93"/>
      <c r="P131" s="93"/>
      <c r="Q131" s="93"/>
      <c r="R131" s="93"/>
    </row>
    <row r="132" spans="2:18" s="74" customFormat="1" ht="24.95" customHeight="1">
      <c r="B132" s="155"/>
      <c r="C132" s="92"/>
      <c r="D132" s="92"/>
      <c r="E132" s="152"/>
      <c r="F132" s="158"/>
      <c r="G132" s="157"/>
      <c r="H132" s="152"/>
      <c r="I132" s="152"/>
      <c r="J132" s="93"/>
      <c r="K132" s="93"/>
      <c r="L132" s="93"/>
      <c r="M132" s="93"/>
      <c r="N132" s="93"/>
      <c r="O132" s="93"/>
      <c r="P132" s="93"/>
      <c r="Q132" s="93"/>
      <c r="R132" s="93"/>
    </row>
    <row r="133" spans="2:18" s="74" customFormat="1" ht="24.95" customHeight="1">
      <c r="B133" s="155"/>
      <c r="C133" s="92"/>
      <c r="D133" s="92"/>
      <c r="E133" s="152"/>
      <c r="F133" s="158"/>
      <c r="G133" s="157"/>
      <c r="H133" s="152"/>
      <c r="I133" s="152"/>
      <c r="J133" s="93"/>
      <c r="K133" s="93"/>
      <c r="L133" s="93"/>
      <c r="M133" s="93"/>
      <c r="N133" s="93"/>
      <c r="O133" s="93"/>
      <c r="P133" s="93"/>
      <c r="Q133" s="93"/>
      <c r="R133" s="93"/>
    </row>
    <row r="134" spans="2:18" s="74" customFormat="1" ht="24.95" customHeight="1">
      <c r="B134" s="159"/>
      <c r="C134" s="92"/>
      <c r="D134" s="92"/>
      <c r="E134" s="92"/>
      <c r="F134" s="158"/>
      <c r="G134" s="157"/>
      <c r="H134" s="152"/>
      <c r="I134" s="152"/>
      <c r="J134" s="93"/>
      <c r="K134" s="93"/>
      <c r="L134" s="93"/>
      <c r="M134" s="93"/>
      <c r="N134" s="93"/>
      <c r="O134" s="93"/>
      <c r="P134" s="93"/>
      <c r="Q134" s="93"/>
      <c r="R134" s="93"/>
    </row>
    <row r="135" spans="2:18" s="74" customFormat="1" ht="24.95" customHeight="1">
      <c r="B135" s="159"/>
      <c r="C135" s="92"/>
      <c r="D135" s="92"/>
      <c r="E135" s="92"/>
      <c r="F135" s="158"/>
      <c r="G135" s="157"/>
      <c r="H135" s="152"/>
      <c r="I135" s="152"/>
      <c r="J135" s="93"/>
      <c r="K135" s="93"/>
      <c r="L135" s="93"/>
      <c r="M135" s="93"/>
      <c r="N135" s="93"/>
      <c r="O135" s="93"/>
      <c r="P135" s="93"/>
      <c r="Q135" s="93"/>
      <c r="R135" s="93"/>
    </row>
    <row r="136" spans="2:18" s="74" customFormat="1" ht="24.95" customHeight="1">
      <c r="B136" s="159"/>
      <c r="C136" s="92"/>
      <c r="D136" s="92"/>
      <c r="E136" s="92"/>
      <c r="F136" s="158"/>
      <c r="G136" s="157"/>
      <c r="H136" s="152"/>
      <c r="I136" s="152"/>
      <c r="J136" s="93"/>
      <c r="K136" s="93"/>
      <c r="L136" s="93"/>
      <c r="M136" s="93"/>
      <c r="N136" s="93"/>
      <c r="O136" s="93"/>
      <c r="P136" s="93"/>
      <c r="Q136" s="93"/>
      <c r="R136" s="93"/>
    </row>
    <row r="137" spans="2:18" s="74" customFormat="1" ht="24.95" customHeight="1">
      <c r="B137" s="159"/>
      <c r="C137" s="92"/>
      <c r="D137" s="92"/>
      <c r="E137" s="92"/>
      <c r="F137" s="158"/>
      <c r="G137" s="157"/>
      <c r="H137" s="152"/>
      <c r="I137" s="152"/>
      <c r="J137" s="93"/>
      <c r="K137" s="93"/>
      <c r="L137" s="93"/>
      <c r="M137" s="93"/>
      <c r="N137" s="93"/>
      <c r="O137" s="93"/>
      <c r="P137" s="93"/>
      <c r="Q137" s="93"/>
      <c r="R137" s="93"/>
    </row>
    <row r="138" spans="2:18" s="74" customFormat="1" ht="24.95" customHeight="1">
      <c r="B138" s="159"/>
      <c r="C138" s="92"/>
      <c r="D138" s="92"/>
      <c r="E138" s="92"/>
      <c r="F138" s="158"/>
      <c r="G138" s="157"/>
      <c r="H138" s="152"/>
      <c r="I138" s="152"/>
      <c r="J138" s="93"/>
      <c r="K138" s="93"/>
      <c r="L138" s="93"/>
      <c r="M138" s="93"/>
      <c r="N138" s="93"/>
      <c r="O138" s="93"/>
      <c r="P138" s="93"/>
      <c r="Q138" s="93"/>
      <c r="R138" s="93"/>
    </row>
    <row r="139" spans="2:18" s="74" customFormat="1" ht="24.95" customHeight="1">
      <c r="B139" s="159"/>
      <c r="C139" s="92"/>
      <c r="D139" s="92"/>
      <c r="E139" s="92"/>
      <c r="F139" s="158"/>
      <c r="G139" s="157"/>
      <c r="H139" s="152"/>
      <c r="I139" s="152"/>
      <c r="J139" s="93"/>
      <c r="K139" s="93"/>
      <c r="L139" s="93"/>
      <c r="M139" s="93"/>
      <c r="N139" s="93"/>
      <c r="O139" s="93"/>
      <c r="P139" s="93"/>
      <c r="Q139" s="93"/>
      <c r="R139" s="93"/>
    </row>
    <row r="140" spans="2:18" s="74" customFormat="1" ht="24.95" customHeight="1">
      <c r="B140" s="159"/>
      <c r="C140" s="92"/>
      <c r="D140" s="92"/>
      <c r="E140" s="92"/>
      <c r="F140" s="158"/>
      <c r="G140" s="157"/>
      <c r="H140" s="152"/>
      <c r="I140" s="152"/>
      <c r="J140" s="93"/>
      <c r="K140" s="93"/>
      <c r="L140" s="93"/>
      <c r="M140" s="93"/>
      <c r="N140" s="93"/>
      <c r="O140" s="93"/>
      <c r="P140" s="93"/>
      <c r="Q140" s="93"/>
      <c r="R140" s="93"/>
    </row>
    <row r="141" spans="2:18" s="74" customFormat="1" ht="24.95" customHeight="1">
      <c r="B141" s="159"/>
      <c r="C141" s="92"/>
      <c r="D141" s="92"/>
      <c r="E141" s="92"/>
      <c r="F141" s="158"/>
      <c r="G141" s="157"/>
      <c r="H141" s="152"/>
      <c r="I141" s="152"/>
      <c r="J141" s="93"/>
      <c r="K141" s="93"/>
      <c r="L141" s="93"/>
      <c r="M141" s="93"/>
      <c r="N141" s="93"/>
      <c r="O141" s="93"/>
      <c r="P141" s="93"/>
      <c r="Q141" s="93"/>
      <c r="R141" s="93"/>
    </row>
    <row r="142" spans="2:18" s="74" customFormat="1" ht="24.95" customHeight="1">
      <c r="B142" s="159"/>
      <c r="C142" s="92"/>
      <c r="D142" s="92"/>
      <c r="E142" s="92"/>
      <c r="F142" s="158"/>
      <c r="G142" s="157"/>
      <c r="H142" s="152"/>
      <c r="I142" s="152"/>
      <c r="J142" s="93"/>
      <c r="K142" s="93"/>
      <c r="L142" s="93"/>
      <c r="M142" s="93"/>
      <c r="N142" s="93"/>
      <c r="O142" s="93"/>
      <c r="P142" s="93"/>
      <c r="Q142" s="93"/>
      <c r="R142" s="93"/>
    </row>
    <row r="143" spans="2:18" s="74" customFormat="1" ht="24.95" customHeight="1">
      <c r="B143" s="159"/>
      <c r="C143" s="92"/>
      <c r="D143" s="92"/>
      <c r="E143" s="92"/>
      <c r="F143" s="158"/>
      <c r="G143" s="157"/>
      <c r="H143" s="152"/>
      <c r="I143" s="152"/>
      <c r="J143" s="93"/>
      <c r="K143" s="93"/>
      <c r="L143" s="93"/>
      <c r="M143" s="93"/>
      <c r="N143" s="93"/>
      <c r="O143" s="93"/>
      <c r="P143" s="93"/>
      <c r="Q143" s="93"/>
      <c r="R143" s="93"/>
    </row>
    <row r="144" spans="2:18" s="74" customFormat="1" ht="24.95" customHeight="1">
      <c r="B144" s="159"/>
      <c r="C144" s="92"/>
      <c r="D144" s="92"/>
      <c r="E144" s="92"/>
      <c r="F144" s="158"/>
      <c r="G144" s="157"/>
      <c r="H144" s="152"/>
      <c r="I144" s="152"/>
      <c r="J144" s="93"/>
      <c r="K144" s="93"/>
      <c r="L144" s="93"/>
      <c r="M144" s="93"/>
      <c r="N144" s="93"/>
      <c r="O144" s="93"/>
      <c r="P144" s="93"/>
      <c r="Q144" s="93"/>
      <c r="R144" s="93"/>
    </row>
    <row r="145" spans="2:18" s="74" customFormat="1" ht="24.95" customHeight="1">
      <c r="B145" s="159"/>
      <c r="C145" s="92"/>
      <c r="D145" s="92"/>
      <c r="E145" s="92"/>
      <c r="F145" s="158"/>
      <c r="G145" s="157"/>
      <c r="H145" s="152"/>
      <c r="I145" s="152"/>
      <c r="J145" s="93"/>
      <c r="K145" s="93"/>
      <c r="L145" s="93"/>
      <c r="M145" s="93"/>
      <c r="N145" s="93"/>
      <c r="O145" s="93"/>
      <c r="P145" s="93"/>
      <c r="Q145" s="93"/>
      <c r="R145" s="93"/>
    </row>
    <row r="146" spans="2:18" s="74" customFormat="1" ht="24.95" customHeight="1">
      <c r="B146" s="159"/>
      <c r="C146" s="92"/>
      <c r="D146" s="92"/>
      <c r="E146" s="92"/>
      <c r="F146" s="158"/>
      <c r="G146" s="157"/>
      <c r="H146" s="152"/>
      <c r="I146" s="152"/>
      <c r="J146" s="93"/>
      <c r="K146" s="93"/>
      <c r="L146" s="93"/>
      <c r="M146" s="93"/>
      <c r="N146" s="93"/>
      <c r="O146" s="93"/>
      <c r="P146" s="93"/>
      <c r="Q146" s="93"/>
      <c r="R146" s="93"/>
    </row>
    <row r="147" spans="2:18" s="74" customFormat="1" ht="24.95" customHeight="1">
      <c r="B147" s="159"/>
      <c r="C147" s="92"/>
      <c r="D147" s="92"/>
      <c r="E147" s="92"/>
      <c r="F147" s="158"/>
      <c r="G147" s="157"/>
      <c r="H147" s="152"/>
      <c r="I147" s="152"/>
      <c r="J147" s="93"/>
      <c r="K147" s="93"/>
      <c r="L147" s="93"/>
      <c r="M147" s="93"/>
      <c r="N147" s="93"/>
      <c r="O147" s="93"/>
      <c r="P147" s="93"/>
      <c r="Q147" s="93"/>
      <c r="R147" s="93"/>
    </row>
    <row r="148" spans="2:18" s="74" customFormat="1" ht="24.95" customHeight="1">
      <c r="B148" s="159"/>
      <c r="C148" s="92"/>
      <c r="D148" s="92"/>
      <c r="E148" s="92"/>
      <c r="F148" s="158"/>
      <c r="G148" s="157"/>
      <c r="H148" s="152"/>
      <c r="I148" s="152"/>
      <c r="J148" s="93"/>
      <c r="K148" s="93"/>
      <c r="L148" s="93"/>
      <c r="M148" s="93"/>
      <c r="N148" s="93"/>
      <c r="O148" s="93"/>
      <c r="P148" s="93"/>
      <c r="Q148" s="93"/>
      <c r="R148" s="93"/>
    </row>
    <row r="149" spans="2:18" s="74" customFormat="1" ht="24.95" customHeight="1">
      <c r="B149" s="159"/>
      <c r="C149" s="92"/>
      <c r="D149" s="92"/>
      <c r="E149" s="92"/>
      <c r="F149" s="158"/>
      <c r="G149" s="157"/>
      <c r="H149" s="152"/>
      <c r="I149" s="152"/>
      <c r="J149" s="93"/>
      <c r="K149" s="93"/>
      <c r="L149" s="93"/>
      <c r="M149" s="93"/>
      <c r="N149" s="93"/>
      <c r="O149" s="93"/>
      <c r="P149" s="93"/>
      <c r="Q149" s="93"/>
      <c r="R149" s="93"/>
    </row>
    <row r="150" spans="2:18" s="74" customFormat="1" ht="24.95" customHeight="1">
      <c r="B150" s="159"/>
      <c r="C150" s="92"/>
      <c r="D150" s="92"/>
      <c r="E150" s="92"/>
      <c r="F150" s="158"/>
      <c r="G150" s="157"/>
      <c r="H150" s="152"/>
      <c r="I150" s="152"/>
      <c r="J150" s="93"/>
      <c r="K150" s="93"/>
      <c r="L150" s="93"/>
      <c r="M150" s="93"/>
      <c r="N150" s="93"/>
      <c r="O150" s="93"/>
      <c r="P150" s="93"/>
      <c r="Q150" s="93"/>
      <c r="R150" s="93"/>
    </row>
    <row r="151" spans="2:18" s="74" customFormat="1" ht="24.95" customHeight="1">
      <c r="B151" s="159"/>
      <c r="C151" s="92"/>
      <c r="D151" s="92"/>
      <c r="E151" s="92"/>
      <c r="F151" s="158"/>
      <c r="G151" s="157"/>
      <c r="H151" s="152"/>
      <c r="I151" s="152"/>
      <c r="J151" s="93"/>
      <c r="K151" s="93"/>
      <c r="L151" s="93"/>
      <c r="M151" s="93"/>
      <c r="N151" s="93"/>
      <c r="O151" s="93"/>
      <c r="P151" s="93"/>
      <c r="Q151" s="93"/>
      <c r="R151" s="93"/>
    </row>
  </sheetData>
  <mergeCells count="12">
    <mergeCell ref="B50:E50"/>
    <mergeCell ref="B51:E51"/>
    <mergeCell ref="B44:E44"/>
    <mergeCell ref="B46:E46"/>
    <mergeCell ref="B47:E47"/>
    <mergeCell ref="B48:E48"/>
    <mergeCell ref="B49:E49"/>
    <mergeCell ref="B36:E36"/>
    <mergeCell ref="B40:E40"/>
    <mergeCell ref="B41:E41"/>
    <mergeCell ref="B42:E42"/>
    <mergeCell ref="B43:E43"/>
  </mergeCells>
  <conditionalFormatting sqref="C3">
    <cfRule type="cellIs" dxfId="31" priority="4" stopIfTrue="1" operator="greaterThanOrEqual">
      <formula>85</formula>
    </cfRule>
    <cfRule type="cellIs" dxfId="30" priority="5" stopIfTrue="1" operator="lessThan">
      <formula>85</formula>
    </cfRule>
  </conditionalFormatting>
  <conditionalFormatting sqref="C37:E39">
    <cfRule type="cellIs" dxfId="29" priority="1" stopIfTrue="1" operator="equal">
      <formula>"לא בוצע"</formula>
    </cfRule>
    <cfRule type="cellIs" dxfId="28" priority="2" stopIfTrue="1" operator="equal">
      <formula>"בוצע"</formula>
    </cfRule>
    <cfRule type="cellIs" dxfId="27" priority="3" stopIfTrue="1" operator="equal">
      <formula>"לא רלוונטי"</formula>
    </cfRule>
  </conditionalFormatting>
  <dataValidations count="2">
    <dataValidation type="list" allowBlank="1" showInputMessage="1" showErrorMessage="1" sqref="C37:E39" xr:uid="{00000000-0002-0000-0300-000000000000}">
      <formula1>$G$4:$G$6</formula1>
    </dataValidation>
    <dataValidation type="list" allowBlank="1" showInputMessage="1" showErrorMessage="1" sqref="C11:E13 C20:E23 C25:E30 C15:E18" xr:uid="{00000000-0002-0000-0300-000001000000}">
      <formula1>$G$3:$G$5</formula1>
    </dataValidation>
  </dataValidations>
  <pageMargins left="0.7" right="0.7" top="0.75" bottom="0.75" header="0.3" footer="0.3"/>
  <pageSetup paperSize="9" scale="80"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143C1-3B24-4A46-AFFE-BC1472A86B94}">
  <dimension ref="A2:F33"/>
  <sheetViews>
    <sheetView rightToLeft="1" workbookViewId="0">
      <selection activeCell="B9" sqref="B9"/>
    </sheetView>
  </sheetViews>
  <sheetFormatPr defaultRowHeight="14.25"/>
  <cols>
    <col min="1" max="2" width="69.25" customWidth="1"/>
    <col min="3" max="3" width="13.125" customWidth="1"/>
    <col min="4" max="4" width="14" bestFit="1" customWidth="1"/>
    <col min="5" max="5" width="31" customWidth="1"/>
    <col min="6" max="6" width="69" bestFit="1" customWidth="1"/>
  </cols>
  <sheetData>
    <row r="2" spans="1:6" ht="15">
      <c r="C2" s="174"/>
    </row>
    <row r="3" spans="1:6" ht="38.25" customHeight="1">
      <c r="A3" s="243" t="s">
        <v>164</v>
      </c>
      <c r="B3" s="178"/>
      <c r="C3" s="299">
        <f>AVERAGE(C16:E16)</f>
        <v>8.5238095238095237</v>
      </c>
      <c r="D3" s="182" t="s">
        <v>1</v>
      </c>
      <c r="E3" s="185" t="s">
        <v>2</v>
      </c>
    </row>
    <row r="4" spans="1:6" ht="15.75" thickBot="1">
      <c r="A4" s="244"/>
      <c r="B4" s="179"/>
      <c r="C4" s="245"/>
      <c r="D4" s="180"/>
      <c r="E4" s="181"/>
    </row>
    <row r="5" spans="1:6" ht="15.75" thickBot="1">
      <c r="A5" s="182" t="s">
        <v>165</v>
      </c>
      <c r="B5" s="183"/>
      <c r="C5" s="186" t="s">
        <v>221</v>
      </c>
      <c r="D5" s="187" t="s">
        <v>211</v>
      </c>
      <c r="E5" s="187" t="s">
        <v>212</v>
      </c>
      <c r="F5" s="177"/>
    </row>
    <row r="6" spans="1:6" ht="15.75" thickBot="1">
      <c r="A6" s="182" t="s">
        <v>10</v>
      </c>
      <c r="B6" s="182"/>
      <c r="C6" s="188">
        <v>1</v>
      </c>
      <c r="D6" s="188">
        <v>2</v>
      </c>
      <c r="E6" s="188">
        <v>3</v>
      </c>
    </row>
    <row r="7" spans="1:6" ht="15.75" thickBot="1">
      <c r="A7" s="240" t="s">
        <v>168</v>
      </c>
      <c r="B7" s="241"/>
      <c r="C7" s="241"/>
      <c r="D7" s="241"/>
      <c r="E7" s="242"/>
    </row>
    <row r="8" spans="1:6" ht="51.75" customHeight="1">
      <c r="A8" s="175" t="s">
        <v>166</v>
      </c>
      <c r="B8" s="201" t="s">
        <v>169</v>
      </c>
      <c r="C8" s="189">
        <v>8</v>
      </c>
      <c r="D8" s="189">
        <v>9</v>
      </c>
      <c r="E8" s="189">
        <v>8</v>
      </c>
    </row>
    <row r="9" spans="1:6" ht="51" customHeight="1">
      <c r="A9" s="176" t="s">
        <v>167</v>
      </c>
      <c r="B9" s="202" t="s">
        <v>180</v>
      </c>
      <c r="C9" s="190">
        <v>9</v>
      </c>
      <c r="D9" s="190">
        <v>9</v>
      </c>
      <c r="E9" s="190">
        <v>9</v>
      </c>
    </row>
    <row r="10" spans="1:6" ht="34.5" customHeight="1">
      <c r="A10" s="176" t="s">
        <v>170</v>
      </c>
      <c r="B10" s="203" t="s">
        <v>178</v>
      </c>
      <c r="C10" s="190">
        <v>8</v>
      </c>
      <c r="D10" s="190">
        <v>8</v>
      </c>
      <c r="E10" s="190">
        <v>8</v>
      </c>
    </row>
    <row r="11" spans="1:6" ht="39" customHeight="1">
      <c r="A11" s="176" t="s">
        <v>171</v>
      </c>
      <c r="B11" s="202" t="s">
        <v>181</v>
      </c>
      <c r="C11" s="190">
        <v>8</v>
      </c>
      <c r="D11" s="190">
        <v>9</v>
      </c>
      <c r="E11" s="190">
        <v>9</v>
      </c>
    </row>
    <row r="12" spans="1:6" ht="28.5">
      <c r="A12" s="176" t="s">
        <v>172</v>
      </c>
      <c r="B12" s="202" t="s">
        <v>179</v>
      </c>
      <c r="C12" s="190">
        <v>9</v>
      </c>
      <c r="D12" s="190">
        <v>8</v>
      </c>
      <c r="E12" s="190">
        <v>8</v>
      </c>
    </row>
    <row r="13" spans="1:6" ht="28.5">
      <c r="A13" s="176" t="s">
        <v>173</v>
      </c>
      <c r="B13" s="204" t="s">
        <v>177</v>
      </c>
      <c r="C13" s="190">
        <v>8</v>
      </c>
      <c r="D13" s="190">
        <v>8</v>
      </c>
      <c r="E13" s="190">
        <v>9</v>
      </c>
    </row>
    <row r="14" spans="1:6" ht="15">
      <c r="A14" s="176" t="s">
        <v>186</v>
      </c>
      <c r="B14" s="204" t="s">
        <v>184</v>
      </c>
      <c r="C14" s="190" t="s">
        <v>88</v>
      </c>
      <c r="D14" s="190" t="s">
        <v>217</v>
      </c>
      <c r="E14" s="190" t="s">
        <v>88</v>
      </c>
    </row>
    <row r="15" spans="1:6" ht="28.5">
      <c r="A15" s="176" t="s">
        <v>174</v>
      </c>
      <c r="B15" s="204" t="s">
        <v>176</v>
      </c>
      <c r="C15" s="190">
        <v>9</v>
      </c>
      <c r="D15" s="190">
        <v>8</v>
      </c>
      <c r="E15" s="190">
        <v>10</v>
      </c>
    </row>
    <row r="16" spans="1:6" ht="15">
      <c r="A16" s="184" t="s">
        <v>175</v>
      </c>
      <c r="B16" s="191"/>
      <c r="C16" s="192">
        <f>AVERAGE(C8:C15)</f>
        <v>8.4285714285714288</v>
      </c>
      <c r="D16" s="192">
        <f t="shared" ref="D16:E16" si="0">AVERAGE(D8:D15)</f>
        <v>8.4285714285714288</v>
      </c>
      <c r="E16" s="192">
        <f t="shared" si="0"/>
        <v>8.7142857142857135</v>
      </c>
    </row>
    <row r="17" spans="1:5" ht="15">
      <c r="A17" s="246" t="s">
        <v>13</v>
      </c>
      <c r="B17" s="247"/>
      <c r="C17" s="247"/>
      <c r="D17" s="247"/>
      <c r="E17" s="248"/>
    </row>
    <row r="18" spans="1:5" ht="21" customHeight="1">
      <c r="A18" s="249" t="s">
        <v>207</v>
      </c>
      <c r="B18" s="250"/>
      <c r="C18" s="250"/>
      <c r="D18" s="250"/>
      <c r="E18" s="250"/>
    </row>
    <row r="19" spans="1:5" ht="15.75" customHeight="1">
      <c r="A19" s="249" t="s">
        <v>213</v>
      </c>
      <c r="B19" s="250"/>
      <c r="C19" s="250"/>
      <c r="D19" s="250"/>
      <c r="E19" s="250"/>
    </row>
    <row r="20" spans="1:5" ht="15.75" customHeight="1">
      <c r="A20" s="249" t="s">
        <v>218</v>
      </c>
      <c r="B20" s="250"/>
      <c r="C20" s="250"/>
      <c r="D20" s="250"/>
      <c r="E20" s="250"/>
    </row>
    <row r="21" spans="1:5" ht="15">
      <c r="A21" s="246" t="s">
        <v>14</v>
      </c>
      <c r="B21" s="247"/>
      <c r="C21" s="247"/>
      <c r="D21" s="247"/>
      <c r="E21" s="247"/>
    </row>
    <row r="22" spans="1:5">
      <c r="A22" s="249" t="s">
        <v>208</v>
      </c>
      <c r="B22" s="250"/>
      <c r="C22" s="250"/>
      <c r="D22" s="250"/>
      <c r="E22" s="250"/>
    </row>
    <row r="23" spans="1:5">
      <c r="A23" s="249" t="s">
        <v>214</v>
      </c>
      <c r="B23" s="250"/>
      <c r="C23" s="250"/>
      <c r="D23" s="250"/>
      <c r="E23" s="250"/>
    </row>
    <row r="24" spans="1:5">
      <c r="A24" s="249" t="s">
        <v>219</v>
      </c>
      <c r="B24" s="250"/>
      <c r="C24" s="250"/>
      <c r="D24" s="250"/>
      <c r="E24" s="250"/>
    </row>
    <row r="25" spans="1:5" ht="15">
      <c r="A25" s="251" t="s">
        <v>15</v>
      </c>
      <c r="B25" s="252"/>
      <c r="C25" s="252"/>
      <c r="D25" s="252"/>
      <c r="E25" s="252"/>
    </row>
    <row r="26" spans="1:5">
      <c r="A26" s="249" t="s">
        <v>209</v>
      </c>
      <c r="B26" s="250"/>
      <c r="C26" s="250"/>
      <c r="D26" s="250"/>
      <c r="E26" s="250"/>
    </row>
    <row r="27" spans="1:5">
      <c r="A27" s="249" t="s">
        <v>215</v>
      </c>
      <c r="B27" s="250"/>
      <c r="C27" s="250"/>
      <c r="D27" s="250"/>
      <c r="E27" s="250"/>
    </row>
    <row r="28" spans="1:5">
      <c r="A28" s="249" t="s">
        <v>220</v>
      </c>
      <c r="B28" s="250"/>
      <c r="C28" s="250"/>
      <c r="D28" s="250"/>
      <c r="E28" s="250"/>
    </row>
    <row r="29" spans="1:5" ht="15">
      <c r="A29" s="251" t="s">
        <v>16</v>
      </c>
      <c r="B29" s="252"/>
      <c r="C29" s="252"/>
      <c r="D29" s="252"/>
      <c r="E29" s="252"/>
    </row>
    <row r="30" spans="1:5" ht="15.75" customHeight="1">
      <c r="A30" s="249" t="s">
        <v>210</v>
      </c>
      <c r="B30" s="250"/>
      <c r="C30" s="250"/>
      <c r="D30" s="250"/>
      <c r="E30" s="250"/>
    </row>
    <row r="31" spans="1:5" ht="15.75" customHeight="1">
      <c r="A31" s="249" t="s">
        <v>216</v>
      </c>
      <c r="B31" s="250"/>
      <c r="C31" s="250"/>
      <c r="D31" s="250"/>
      <c r="E31" s="250"/>
    </row>
    <row r="32" spans="1:5" ht="14.25" customHeight="1">
      <c r="A32" s="300"/>
      <c r="B32" s="301"/>
      <c r="C32" s="301"/>
      <c r="D32" s="301"/>
      <c r="E32" s="301"/>
    </row>
    <row r="33" spans="1:5">
      <c r="A33" s="238"/>
      <c r="B33" s="239"/>
      <c r="C33" s="239"/>
      <c r="D33" s="239"/>
      <c r="E33" s="239"/>
    </row>
  </sheetData>
  <mergeCells count="20">
    <mergeCell ref="A7:E7"/>
    <mergeCell ref="A3:A4"/>
    <mergeCell ref="C3:C4"/>
    <mergeCell ref="A28:E28"/>
    <mergeCell ref="A17:E17"/>
    <mergeCell ref="A18:E18"/>
    <mergeCell ref="A19:E19"/>
    <mergeCell ref="A20:E20"/>
    <mergeCell ref="A21:E21"/>
    <mergeCell ref="A22:E22"/>
    <mergeCell ref="A23:E23"/>
    <mergeCell ref="A24:E24"/>
    <mergeCell ref="A25:E25"/>
    <mergeCell ref="A26:E26"/>
    <mergeCell ref="A27:E27"/>
    <mergeCell ref="A29:E29"/>
    <mergeCell ref="A30:E30"/>
    <mergeCell ref="A31:E31"/>
    <mergeCell ref="A32:E32"/>
    <mergeCell ref="A33:E33"/>
  </mergeCells>
  <conditionalFormatting sqref="C3">
    <cfRule type="cellIs" dxfId="26" priority="10" stopIfTrue="1" operator="greaterThanOrEqual">
      <formula>85</formula>
    </cfRule>
    <cfRule type="cellIs" dxfId="25" priority="11" stopIfTrue="1" operator="lessThan">
      <formula>85</formula>
    </cfRule>
  </conditionalFormatting>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C21F-85F7-44D1-B7AD-A7BF8D32AABD}">
  <dimension ref="A2:F33"/>
  <sheetViews>
    <sheetView rightToLeft="1" workbookViewId="0">
      <selection activeCell="A17" sqref="A17:E17"/>
    </sheetView>
  </sheetViews>
  <sheetFormatPr defaultColWidth="9.125" defaultRowHeight="14.25"/>
  <cols>
    <col min="1" max="2" width="69.25" style="194" customWidth="1"/>
    <col min="3" max="3" width="13.125" style="194" customWidth="1"/>
    <col min="4" max="4" width="14" style="194" bestFit="1" customWidth="1"/>
    <col min="5" max="5" width="13.875" style="194" customWidth="1"/>
    <col min="6" max="6" width="69" style="194" bestFit="1" customWidth="1"/>
    <col min="7" max="16384" width="9.125" style="194"/>
  </cols>
  <sheetData>
    <row r="2" spans="1:6" ht="15">
      <c r="C2" s="193"/>
    </row>
    <row r="3" spans="1:6" ht="38.25" customHeight="1">
      <c r="A3" s="243" t="s">
        <v>164</v>
      </c>
      <c r="B3" s="178"/>
      <c r="C3" s="302">
        <f>AVERAGE(C16:E16)</f>
        <v>8.5</v>
      </c>
      <c r="D3" s="182" t="s">
        <v>1</v>
      </c>
      <c r="E3" s="185" t="s">
        <v>2</v>
      </c>
    </row>
    <row r="4" spans="1:6" ht="15">
      <c r="A4" s="244"/>
      <c r="B4" s="179"/>
      <c r="C4" s="182"/>
      <c r="D4" s="180"/>
      <c r="E4" s="181"/>
    </row>
    <row r="5" spans="1:6" ht="15">
      <c r="A5" s="182" t="s">
        <v>165</v>
      </c>
      <c r="B5" s="183"/>
      <c r="C5" s="187" t="s">
        <v>197</v>
      </c>
      <c r="D5" s="187" t="s">
        <v>196</v>
      </c>
      <c r="E5" s="208" t="s">
        <v>202</v>
      </c>
      <c r="F5" s="207" t="s">
        <v>189</v>
      </c>
    </row>
    <row r="6" spans="1:6" ht="15.75" thickBot="1">
      <c r="A6" s="182" t="s">
        <v>10</v>
      </c>
      <c r="B6" s="182"/>
      <c r="C6" s="188">
        <v>1</v>
      </c>
      <c r="D6" s="188">
        <v>2</v>
      </c>
      <c r="E6" s="188">
        <v>3</v>
      </c>
    </row>
    <row r="7" spans="1:6" ht="15.75" thickBot="1">
      <c r="A7" s="240" t="s">
        <v>168</v>
      </c>
      <c r="B7" s="241"/>
      <c r="C7" s="241"/>
      <c r="D7" s="241"/>
      <c r="E7" s="242"/>
    </row>
    <row r="8" spans="1:6" ht="51.75" customHeight="1">
      <c r="A8" s="175" t="s">
        <v>166</v>
      </c>
      <c r="B8" s="201" t="s">
        <v>169</v>
      </c>
      <c r="C8" s="189">
        <v>8</v>
      </c>
      <c r="D8" s="189">
        <v>9</v>
      </c>
      <c r="E8" s="189">
        <v>8</v>
      </c>
    </row>
    <row r="9" spans="1:6" ht="51" customHeight="1">
      <c r="A9" s="176" t="s">
        <v>167</v>
      </c>
      <c r="B9" s="202" t="s">
        <v>180</v>
      </c>
      <c r="C9" s="190">
        <v>9</v>
      </c>
      <c r="D9" s="190">
        <v>9.5</v>
      </c>
      <c r="E9" s="190">
        <v>9</v>
      </c>
    </row>
    <row r="10" spans="1:6" ht="34.5" customHeight="1">
      <c r="A10" s="176" t="s">
        <v>170</v>
      </c>
      <c r="B10" s="203" t="s">
        <v>178</v>
      </c>
      <c r="C10" s="190">
        <v>9</v>
      </c>
      <c r="D10" s="190">
        <v>8</v>
      </c>
      <c r="E10" s="190">
        <v>8</v>
      </c>
    </row>
    <row r="11" spans="1:6" ht="39" customHeight="1">
      <c r="A11" s="176" t="s">
        <v>171</v>
      </c>
      <c r="B11" s="202" t="s">
        <v>181</v>
      </c>
      <c r="C11" s="190">
        <v>9</v>
      </c>
      <c r="D11" s="190">
        <v>8</v>
      </c>
      <c r="E11" s="190">
        <v>8</v>
      </c>
    </row>
    <row r="12" spans="1:6" ht="28.5">
      <c r="A12" s="176" t="s">
        <v>172</v>
      </c>
      <c r="B12" s="202" t="s">
        <v>179</v>
      </c>
      <c r="C12" s="190">
        <v>9</v>
      </c>
      <c r="D12" s="190">
        <v>9</v>
      </c>
      <c r="E12" s="190">
        <v>8</v>
      </c>
    </row>
    <row r="13" spans="1:6" ht="28.5">
      <c r="A13" s="176" t="s">
        <v>173</v>
      </c>
      <c r="B13" s="204" t="s">
        <v>177</v>
      </c>
      <c r="C13" s="190">
        <v>7</v>
      </c>
      <c r="D13" s="190">
        <v>8</v>
      </c>
      <c r="E13" s="190">
        <v>9</v>
      </c>
    </row>
    <row r="14" spans="1:6" ht="15">
      <c r="A14" s="176" t="s">
        <v>185</v>
      </c>
      <c r="B14" s="204" t="s">
        <v>184</v>
      </c>
      <c r="C14" s="190" t="s">
        <v>88</v>
      </c>
      <c r="D14" s="190" t="s">
        <v>88</v>
      </c>
      <c r="E14" s="190" t="s">
        <v>89</v>
      </c>
    </row>
    <row r="15" spans="1:6" ht="28.5">
      <c r="A15" s="176" t="s">
        <v>174</v>
      </c>
      <c r="B15" s="204" t="s">
        <v>176</v>
      </c>
      <c r="C15" s="190">
        <v>9</v>
      </c>
      <c r="D15" s="190">
        <v>9</v>
      </c>
      <c r="E15" s="190">
        <v>8</v>
      </c>
    </row>
    <row r="16" spans="1:6" ht="15">
      <c r="A16" s="184" t="s">
        <v>175</v>
      </c>
      <c r="B16" s="205"/>
      <c r="C16" s="192">
        <f>AVERAGE(C8:C15)</f>
        <v>8.5714285714285712</v>
      </c>
      <c r="D16" s="192">
        <f>AVERAGE(D8:D15)</f>
        <v>8.6428571428571423</v>
      </c>
      <c r="E16" s="192">
        <f t="shared" ref="C16:E16" si="0">AVERAGE(E8:E15)</f>
        <v>8.2857142857142865</v>
      </c>
    </row>
    <row r="17" spans="1:5" ht="15">
      <c r="A17" s="246" t="s">
        <v>13</v>
      </c>
      <c r="B17" s="247"/>
      <c r="C17" s="247"/>
      <c r="D17" s="247"/>
      <c r="E17" s="248"/>
    </row>
    <row r="18" spans="1:5">
      <c r="A18" s="249" t="s">
        <v>192</v>
      </c>
      <c r="B18" s="250"/>
      <c r="C18" s="250"/>
      <c r="D18" s="250"/>
      <c r="E18" s="250"/>
    </row>
    <row r="19" spans="1:5" ht="15.75" customHeight="1">
      <c r="A19" s="249" t="s">
        <v>198</v>
      </c>
      <c r="B19" s="250"/>
      <c r="C19" s="250"/>
      <c r="D19" s="250"/>
      <c r="E19" s="250"/>
    </row>
    <row r="20" spans="1:5" ht="15.75" customHeight="1">
      <c r="A20" s="249" t="s">
        <v>204</v>
      </c>
      <c r="B20" s="250"/>
      <c r="C20" s="250"/>
      <c r="D20" s="250"/>
      <c r="E20" s="250"/>
    </row>
    <row r="21" spans="1:5" ht="15">
      <c r="A21" s="246" t="s">
        <v>14</v>
      </c>
      <c r="B21" s="247"/>
      <c r="C21" s="247"/>
      <c r="D21" s="247"/>
      <c r="E21" s="247"/>
    </row>
    <row r="22" spans="1:5">
      <c r="A22" s="249" t="s">
        <v>193</v>
      </c>
      <c r="B22" s="250"/>
      <c r="C22" s="250"/>
      <c r="D22" s="250"/>
      <c r="E22" s="250"/>
    </row>
    <row r="23" spans="1:5">
      <c r="A23" s="249" t="s">
        <v>199</v>
      </c>
      <c r="B23" s="250"/>
      <c r="C23" s="250"/>
      <c r="D23" s="250"/>
      <c r="E23" s="250"/>
    </row>
    <row r="24" spans="1:5">
      <c r="A24" s="249" t="s">
        <v>205</v>
      </c>
      <c r="B24" s="250"/>
      <c r="C24" s="250"/>
      <c r="D24" s="250"/>
      <c r="E24" s="250"/>
    </row>
    <row r="25" spans="1:5" ht="15">
      <c r="A25" s="251" t="s">
        <v>15</v>
      </c>
      <c r="B25" s="252"/>
      <c r="C25" s="252"/>
      <c r="D25" s="252"/>
      <c r="E25" s="252"/>
    </row>
    <row r="26" spans="1:5">
      <c r="A26" s="249" t="s">
        <v>194</v>
      </c>
      <c r="B26" s="250"/>
      <c r="C26" s="250"/>
      <c r="D26" s="250"/>
      <c r="E26" s="250"/>
    </row>
    <row r="27" spans="1:5">
      <c r="A27" s="249" t="s">
        <v>200</v>
      </c>
      <c r="B27" s="250"/>
      <c r="C27" s="250"/>
      <c r="D27" s="250"/>
      <c r="E27" s="250"/>
    </row>
    <row r="28" spans="1:5">
      <c r="A28" s="249" t="s">
        <v>203</v>
      </c>
      <c r="B28" s="250"/>
      <c r="C28" s="250"/>
      <c r="D28" s="250"/>
      <c r="E28" s="250"/>
    </row>
    <row r="29" spans="1:5" ht="15">
      <c r="A29" s="251" t="s">
        <v>16</v>
      </c>
      <c r="B29" s="252"/>
      <c r="C29" s="252"/>
      <c r="D29" s="252"/>
      <c r="E29" s="252"/>
    </row>
    <row r="30" spans="1:5" ht="15.75" customHeight="1">
      <c r="A30" s="249" t="s">
        <v>195</v>
      </c>
      <c r="B30" s="250"/>
      <c r="C30" s="250"/>
      <c r="D30" s="250"/>
      <c r="E30" s="250"/>
    </row>
    <row r="31" spans="1:5" ht="15.75" customHeight="1">
      <c r="A31" s="249" t="s">
        <v>201</v>
      </c>
      <c r="B31" s="250"/>
      <c r="C31" s="250"/>
      <c r="D31" s="250"/>
      <c r="E31" s="250"/>
    </row>
    <row r="32" spans="1:5" ht="14.25" customHeight="1">
      <c r="A32" s="300" t="s">
        <v>206</v>
      </c>
      <c r="B32" s="301"/>
      <c r="C32" s="301"/>
      <c r="D32" s="301"/>
      <c r="E32" s="301"/>
    </row>
    <row r="33" spans="1:5">
      <c r="A33" s="253"/>
      <c r="B33" s="254"/>
      <c r="C33" s="254"/>
      <c r="D33" s="254"/>
      <c r="E33" s="254"/>
    </row>
  </sheetData>
  <mergeCells count="19">
    <mergeCell ref="A25:E25"/>
    <mergeCell ref="A3:A4"/>
    <mergeCell ref="A7:E7"/>
    <mergeCell ref="A17:E17"/>
    <mergeCell ref="A18:E18"/>
    <mergeCell ref="A19:E19"/>
    <mergeCell ref="A20:E20"/>
    <mergeCell ref="A21:E21"/>
    <mergeCell ref="A22:E22"/>
    <mergeCell ref="A23:E23"/>
    <mergeCell ref="A24:E24"/>
    <mergeCell ref="A32:E32"/>
    <mergeCell ref="A33:E33"/>
    <mergeCell ref="A26:E26"/>
    <mergeCell ref="A27:E27"/>
    <mergeCell ref="A28:E28"/>
    <mergeCell ref="A29:E29"/>
    <mergeCell ref="A30:E30"/>
    <mergeCell ref="A31:E3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D0265-76F0-4F2E-BE9D-EDDBADC48A69}">
  <dimension ref="A2:E33"/>
  <sheetViews>
    <sheetView rightToLeft="1" tabSelected="1" workbookViewId="0">
      <selection activeCell="A19" sqref="A19:E19"/>
    </sheetView>
  </sheetViews>
  <sheetFormatPr defaultColWidth="9.125" defaultRowHeight="14.25"/>
  <cols>
    <col min="1" max="2" width="69.25" style="194" customWidth="1"/>
    <col min="3" max="3" width="13.125" style="194" customWidth="1"/>
    <col min="4" max="4" width="12.75" style="194" customWidth="1"/>
    <col min="5" max="5" width="13.875" style="194" customWidth="1"/>
    <col min="6" max="6" width="69" style="194" bestFit="1" customWidth="1"/>
    <col min="7" max="16384" width="9.125" style="194"/>
  </cols>
  <sheetData>
    <row r="2" spans="1:5" ht="15">
      <c r="C2" s="193"/>
    </row>
    <row r="3" spans="1:5" ht="38.25" customHeight="1">
      <c r="A3" s="243" t="s">
        <v>164</v>
      </c>
      <c r="B3" s="178"/>
      <c r="C3" s="302">
        <f>AVERAGE(C16:E16)</f>
        <v>8.5714285714285712</v>
      </c>
      <c r="D3" s="182" t="s">
        <v>1</v>
      </c>
      <c r="E3" s="185" t="s">
        <v>2</v>
      </c>
    </row>
    <row r="4" spans="1:5" ht="15">
      <c r="A4" s="244"/>
      <c r="B4" s="179"/>
      <c r="C4" s="180"/>
      <c r="D4" s="180" t="s">
        <v>182</v>
      </c>
      <c r="E4" s="181"/>
    </row>
    <row r="5" spans="1:5" ht="15">
      <c r="A5" s="182" t="s">
        <v>165</v>
      </c>
      <c r="B5" s="183"/>
      <c r="C5" s="187"/>
      <c r="D5" s="187"/>
      <c r="E5" s="187"/>
    </row>
    <row r="6" spans="1:5" ht="15.75" thickBot="1">
      <c r="A6" s="182" t="s">
        <v>10</v>
      </c>
      <c r="B6" s="182"/>
      <c r="C6" s="188"/>
      <c r="D6" s="188"/>
      <c r="E6" s="188"/>
    </row>
    <row r="7" spans="1:5" ht="15.75" thickBot="1">
      <c r="A7" s="240" t="s">
        <v>168</v>
      </c>
      <c r="B7" s="241"/>
      <c r="C7" s="241"/>
      <c r="D7" s="241"/>
      <c r="E7" s="242"/>
    </row>
    <row r="8" spans="1:5" ht="51.75" customHeight="1">
      <c r="A8" s="175" t="s">
        <v>166</v>
      </c>
      <c r="B8" s="201" t="s">
        <v>169</v>
      </c>
      <c r="C8" s="189">
        <v>8</v>
      </c>
      <c r="D8" s="189">
        <v>8</v>
      </c>
      <c r="E8" s="189">
        <v>8</v>
      </c>
    </row>
    <row r="9" spans="1:5" ht="51" customHeight="1">
      <c r="A9" s="176" t="s">
        <v>167</v>
      </c>
      <c r="B9" s="202" t="s">
        <v>180</v>
      </c>
      <c r="C9" s="190">
        <v>9</v>
      </c>
      <c r="D9" s="190">
        <v>9</v>
      </c>
      <c r="E9" s="190">
        <v>9</v>
      </c>
    </row>
    <row r="10" spans="1:5" ht="34.5" customHeight="1">
      <c r="A10" s="176" t="s">
        <v>170</v>
      </c>
      <c r="B10" s="203" t="s">
        <v>178</v>
      </c>
      <c r="C10" s="190">
        <v>8</v>
      </c>
      <c r="D10" s="190">
        <v>9</v>
      </c>
      <c r="E10" s="190">
        <v>8</v>
      </c>
    </row>
    <row r="11" spans="1:5" ht="39" customHeight="1">
      <c r="A11" s="176" t="s">
        <v>171</v>
      </c>
      <c r="B11" s="204" t="s">
        <v>181</v>
      </c>
      <c r="C11" s="190">
        <v>8</v>
      </c>
      <c r="D11" s="190">
        <v>9</v>
      </c>
      <c r="E11" s="190">
        <v>9</v>
      </c>
    </row>
    <row r="12" spans="1:5" ht="28.5">
      <c r="A12" s="176" t="s">
        <v>172</v>
      </c>
      <c r="B12" s="204" t="s">
        <v>179</v>
      </c>
      <c r="C12" s="190">
        <v>9</v>
      </c>
      <c r="D12" s="190">
        <v>9</v>
      </c>
      <c r="E12" s="190">
        <v>9</v>
      </c>
    </row>
    <row r="13" spans="1:5" ht="28.5">
      <c r="A13" s="176" t="s">
        <v>173</v>
      </c>
      <c r="B13" s="204" t="s">
        <v>177</v>
      </c>
      <c r="C13" s="190">
        <v>9</v>
      </c>
      <c r="D13" s="190">
        <v>8</v>
      </c>
      <c r="E13" s="190">
        <v>8</v>
      </c>
    </row>
    <row r="14" spans="1:5" ht="15">
      <c r="A14" s="176" t="s">
        <v>183</v>
      </c>
      <c r="B14" s="204" t="s">
        <v>184</v>
      </c>
      <c r="C14" s="190" t="s">
        <v>88</v>
      </c>
      <c r="D14" s="190" t="s">
        <v>88</v>
      </c>
      <c r="E14" s="190" t="s">
        <v>88</v>
      </c>
    </row>
    <row r="15" spans="1:5" ht="28.5">
      <c r="A15" s="176" t="s">
        <v>174</v>
      </c>
      <c r="B15" s="204" t="s">
        <v>176</v>
      </c>
      <c r="C15" s="190">
        <v>9</v>
      </c>
      <c r="D15" s="190">
        <v>9</v>
      </c>
      <c r="E15" s="190">
        <v>8</v>
      </c>
    </row>
    <row r="16" spans="1:5" ht="15">
      <c r="A16" s="184" t="s">
        <v>175</v>
      </c>
      <c r="B16" s="205"/>
      <c r="C16" s="192">
        <f>AVERAGE(C8:C15)</f>
        <v>8.5714285714285712</v>
      </c>
      <c r="D16" s="192">
        <f t="shared" ref="D16:E16" si="0">AVERAGE(D8:D15)</f>
        <v>8.7142857142857135</v>
      </c>
      <c r="E16" s="192">
        <f t="shared" si="0"/>
        <v>8.4285714285714288</v>
      </c>
    </row>
    <row r="17" spans="1:5" ht="15">
      <c r="A17" s="246" t="s">
        <v>13</v>
      </c>
      <c r="B17" s="247"/>
      <c r="C17" s="247"/>
      <c r="D17" s="247"/>
      <c r="E17" s="248"/>
    </row>
    <row r="18" spans="1:5" ht="15.75" customHeight="1">
      <c r="A18" s="249" t="s">
        <v>222</v>
      </c>
      <c r="B18" s="250"/>
      <c r="C18" s="250"/>
      <c r="D18" s="250"/>
      <c r="E18" s="250"/>
    </row>
    <row r="19" spans="1:5" ht="15.75" customHeight="1">
      <c r="A19" s="249" t="s">
        <v>226</v>
      </c>
      <c r="B19" s="250"/>
      <c r="C19" s="250"/>
      <c r="D19" s="250"/>
      <c r="E19" s="250"/>
    </row>
    <row r="20" spans="1:5" ht="15.75" customHeight="1">
      <c r="A20" s="249" t="s">
        <v>230</v>
      </c>
      <c r="B20" s="250"/>
      <c r="C20" s="250"/>
      <c r="D20" s="250"/>
      <c r="E20" s="250"/>
    </row>
    <row r="21" spans="1:5" ht="15">
      <c r="A21" s="246" t="s">
        <v>14</v>
      </c>
      <c r="B21" s="247"/>
      <c r="C21" s="247"/>
      <c r="D21" s="247"/>
      <c r="E21" s="247"/>
    </row>
    <row r="22" spans="1:5">
      <c r="A22" s="249" t="s">
        <v>223</v>
      </c>
      <c r="B22" s="250"/>
      <c r="C22" s="250"/>
      <c r="D22" s="250"/>
      <c r="E22" s="250"/>
    </row>
    <row r="23" spans="1:5">
      <c r="A23" s="249" t="s">
        <v>227</v>
      </c>
      <c r="B23" s="250"/>
      <c r="C23" s="250"/>
      <c r="D23" s="250"/>
      <c r="E23" s="250"/>
    </row>
    <row r="24" spans="1:5">
      <c r="A24" s="249" t="s">
        <v>231</v>
      </c>
      <c r="B24" s="250"/>
      <c r="C24" s="250"/>
      <c r="D24" s="250"/>
      <c r="E24" s="250"/>
    </row>
    <row r="25" spans="1:5" ht="15">
      <c r="A25" s="251" t="s">
        <v>15</v>
      </c>
      <c r="B25" s="252"/>
      <c r="C25" s="252"/>
      <c r="D25" s="252"/>
      <c r="E25" s="252"/>
    </row>
    <row r="26" spans="1:5">
      <c r="A26" s="249" t="s">
        <v>224</v>
      </c>
      <c r="B26" s="250"/>
      <c r="C26" s="250"/>
      <c r="D26" s="250"/>
      <c r="E26" s="250"/>
    </row>
    <row r="27" spans="1:5">
      <c r="A27" s="249" t="s">
        <v>228</v>
      </c>
      <c r="B27" s="250"/>
      <c r="C27" s="250"/>
      <c r="D27" s="250"/>
      <c r="E27" s="250"/>
    </row>
    <row r="28" spans="1:5">
      <c r="A28" s="249" t="s">
        <v>232</v>
      </c>
      <c r="B28" s="250"/>
      <c r="C28" s="250"/>
      <c r="D28" s="250"/>
      <c r="E28" s="250"/>
    </row>
    <row r="29" spans="1:5" ht="15">
      <c r="A29" s="251" t="s">
        <v>16</v>
      </c>
      <c r="B29" s="252"/>
      <c r="C29" s="252"/>
      <c r="D29" s="252"/>
      <c r="E29" s="252"/>
    </row>
    <row r="30" spans="1:5" ht="15.75" customHeight="1">
      <c r="A30" s="249" t="s">
        <v>225</v>
      </c>
      <c r="B30" s="250"/>
      <c r="C30" s="250"/>
      <c r="D30" s="250"/>
      <c r="E30" s="250"/>
    </row>
    <row r="31" spans="1:5" ht="15.75" customHeight="1">
      <c r="A31" s="249" t="s">
        <v>229</v>
      </c>
      <c r="B31" s="250"/>
      <c r="C31" s="250"/>
      <c r="D31" s="250"/>
      <c r="E31" s="250"/>
    </row>
    <row r="32" spans="1:5" ht="14.25" customHeight="1">
      <c r="A32" s="300" t="s">
        <v>233</v>
      </c>
      <c r="B32" s="301"/>
      <c r="C32" s="301"/>
      <c r="D32" s="301"/>
      <c r="E32" s="301"/>
    </row>
    <row r="33" spans="1:5">
      <c r="A33" s="253"/>
      <c r="B33" s="254"/>
      <c r="C33" s="254"/>
      <c r="D33" s="254"/>
      <c r="E33" s="254"/>
    </row>
  </sheetData>
  <mergeCells count="19">
    <mergeCell ref="A25:E25"/>
    <mergeCell ref="A3:A4"/>
    <mergeCell ref="A7:E7"/>
    <mergeCell ref="A17:E17"/>
    <mergeCell ref="A18:E18"/>
    <mergeCell ref="A19:E19"/>
    <mergeCell ref="A20:E20"/>
    <mergeCell ref="A21:E21"/>
    <mergeCell ref="A22:E22"/>
    <mergeCell ref="A23:E23"/>
    <mergeCell ref="A24:E24"/>
    <mergeCell ref="A32:E32"/>
    <mergeCell ref="A33:E33"/>
    <mergeCell ref="A26:E26"/>
    <mergeCell ref="A27:E27"/>
    <mergeCell ref="A28:E28"/>
    <mergeCell ref="A29:E29"/>
    <mergeCell ref="A30:E30"/>
    <mergeCell ref="A31:E31"/>
  </mergeCells>
  <phoneticPr fontId="41"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05BC-0D83-4B62-B76F-609A2B8D1BD3}">
  <dimension ref="A2:E33"/>
  <sheetViews>
    <sheetView rightToLeft="1" workbookViewId="0">
      <selection activeCell="A21" sqref="A21:E21"/>
    </sheetView>
  </sheetViews>
  <sheetFormatPr defaultColWidth="9.125" defaultRowHeight="14.25"/>
  <cols>
    <col min="1" max="2" width="69.25" style="194" customWidth="1"/>
    <col min="3" max="3" width="13.125" style="194" customWidth="1"/>
    <col min="4" max="4" width="12.75" style="194" customWidth="1"/>
    <col min="5" max="5" width="13.875" style="194" customWidth="1"/>
    <col min="6" max="6" width="69" style="194" bestFit="1" customWidth="1"/>
    <col min="7" max="16384" width="9.125" style="194"/>
  </cols>
  <sheetData>
    <row r="2" spans="1:5" ht="15">
      <c r="C2" s="193"/>
    </row>
    <row r="3" spans="1:5" ht="38.25" customHeight="1">
      <c r="A3" s="257" t="s">
        <v>164</v>
      </c>
      <c r="B3" s="195"/>
      <c r="C3" s="206"/>
      <c r="D3" s="196" t="s">
        <v>1</v>
      </c>
      <c r="E3" s="197" t="s">
        <v>2</v>
      </c>
    </row>
    <row r="4" spans="1:5" ht="15.75">
      <c r="A4" s="258"/>
      <c r="B4" s="198"/>
      <c r="C4" s="199"/>
      <c r="D4" s="199" t="s">
        <v>187</v>
      </c>
      <c r="E4" s="181" t="s">
        <v>190</v>
      </c>
    </row>
    <row r="5" spans="1:5" ht="15.75">
      <c r="A5" s="196" t="s">
        <v>165</v>
      </c>
      <c r="B5" s="200"/>
      <c r="C5" s="187"/>
      <c r="D5" s="187"/>
      <c r="E5" s="187"/>
    </row>
    <row r="6" spans="1:5" ht="16.5" thickBot="1">
      <c r="A6" s="196" t="s">
        <v>10</v>
      </c>
      <c r="B6" s="196"/>
      <c r="C6" s="188">
        <v>1</v>
      </c>
      <c r="D6" s="188">
        <v>2</v>
      </c>
      <c r="E6" s="188">
        <v>3</v>
      </c>
    </row>
    <row r="7" spans="1:5" ht="16.5" thickBot="1">
      <c r="A7" s="259" t="s">
        <v>168</v>
      </c>
      <c r="B7" s="260"/>
      <c r="C7" s="260"/>
      <c r="D7" s="260"/>
      <c r="E7" s="261"/>
    </row>
    <row r="8" spans="1:5" ht="51.75" customHeight="1">
      <c r="A8" s="175" t="s">
        <v>166</v>
      </c>
      <c r="B8" s="201" t="s">
        <v>169</v>
      </c>
      <c r="C8" s="189">
        <v>8</v>
      </c>
      <c r="D8" s="189">
        <v>8</v>
      </c>
      <c r="E8" s="189">
        <v>8</v>
      </c>
    </row>
    <row r="9" spans="1:5" ht="51" customHeight="1">
      <c r="A9" s="176" t="s">
        <v>167</v>
      </c>
      <c r="B9" s="202" t="s">
        <v>180</v>
      </c>
      <c r="C9" s="190">
        <v>7</v>
      </c>
      <c r="D9" s="190">
        <v>7</v>
      </c>
      <c r="E9" s="190">
        <v>7</v>
      </c>
    </row>
    <row r="10" spans="1:5" ht="34.5" customHeight="1">
      <c r="A10" s="176" t="s">
        <v>170</v>
      </c>
      <c r="B10" s="203" t="s">
        <v>178</v>
      </c>
      <c r="C10" s="190">
        <v>7</v>
      </c>
      <c r="D10" s="190">
        <v>7</v>
      </c>
      <c r="E10" s="190">
        <v>7</v>
      </c>
    </row>
    <row r="11" spans="1:5" ht="39" customHeight="1">
      <c r="A11" s="176" t="s">
        <v>171</v>
      </c>
      <c r="B11" s="204" t="s">
        <v>181</v>
      </c>
      <c r="C11" s="190">
        <v>6</v>
      </c>
      <c r="D11" s="190">
        <v>6</v>
      </c>
      <c r="E11" s="190">
        <v>7</v>
      </c>
    </row>
    <row r="12" spans="1:5" ht="28.5">
      <c r="A12" s="176" t="s">
        <v>172</v>
      </c>
      <c r="B12" s="204" t="s">
        <v>179</v>
      </c>
      <c r="C12" s="190">
        <v>7</v>
      </c>
      <c r="D12" s="190">
        <v>7</v>
      </c>
      <c r="E12" s="190">
        <v>7</v>
      </c>
    </row>
    <row r="13" spans="1:5" ht="28.5">
      <c r="A13" s="176" t="s">
        <v>173</v>
      </c>
      <c r="B13" s="204" t="s">
        <v>177</v>
      </c>
      <c r="C13" s="190">
        <v>7</v>
      </c>
      <c r="D13" s="190">
        <v>6</v>
      </c>
      <c r="E13" s="190">
        <v>7</v>
      </c>
    </row>
    <row r="14" spans="1:5" ht="15">
      <c r="A14" s="176" t="s">
        <v>183</v>
      </c>
      <c r="B14" s="204" t="s">
        <v>184</v>
      </c>
      <c r="C14" s="190" t="s">
        <v>88</v>
      </c>
      <c r="D14" s="190" t="s">
        <v>88</v>
      </c>
      <c r="E14" s="190" t="s">
        <v>88</v>
      </c>
    </row>
    <row r="15" spans="1:5" ht="28.5">
      <c r="A15" s="176" t="s">
        <v>174</v>
      </c>
      <c r="B15" s="204" t="s">
        <v>176</v>
      </c>
      <c r="C15" s="190">
        <v>7</v>
      </c>
      <c r="D15" s="190">
        <v>7</v>
      </c>
      <c r="E15" s="190">
        <v>7</v>
      </c>
    </row>
    <row r="16" spans="1:5" ht="15">
      <c r="A16" s="184" t="s">
        <v>175</v>
      </c>
      <c r="B16" s="205"/>
      <c r="C16" s="192">
        <f>AVERAGE(C8:C15)</f>
        <v>7</v>
      </c>
      <c r="D16" s="192">
        <f>AVERAGE(D8:D15)</f>
        <v>6.8571428571428568</v>
      </c>
      <c r="E16" s="192">
        <f>AVERAGE(E8:E15)</f>
        <v>7.1428571428571432</v>
      </c>
    </row>
    <row r="17" spans="1:5" ht="15.75">
      <c r="A17" s="262" t="s">
        <v>13</v>
      </c>
      <c r="B17" s="263"/>
      <c r="C17" s="263"/>
      <c r="D17" s="263"/>
      <c r="E17" s="264"/>
    </row>
    <row r="18" spans="1:5" ht="15.75" customHeight="1">
      <c r="A18" s="255"/>
      <c r="B18" s="256"/>
      <c r="C18" s="256"/>
      <c r="D18" s="256"/>
      <c r="E18" s="256"/>
    </row>
    <row r="19" spans="1:5" ht="15.75" customHeight="1">
      <c r="A19" s="265"/>
      <c r="B19" s="256"/>
      <c r="C19" s="256"/>
      <c r="D19" s="256"/>
      <c r="E19" s="256"/>
    </row>
    <row r="20" spans="1:5" ht="15.75" customHeight="1">
      <c r="A20" s="255"/>
      <c r="B20" s="256"/>
      <c r="C20" s="256"/>
      <c r="D20" s="256"/>
      <c r="E20" s="256"/>
    </row>
    <row r="21" spans="1:5" ht="15.75">
      <c r="A21" s="262" t="s">
        <v>14</v>
      </c>
      <c r="B21" s="263"/>
      <c r="C21" s="263"/>
      <c r="D21" s="263"/>
      <c r="E21" s="263"/>
    </row>
    <row r="22" spans="1:5" ht="15">
      <c r="A22" s="255"/>
      <c r="B22" s="256"/>
      <c r="C22" s="256"/>
      <c r="D22" s="256"/>
      <c r="E22" s="256"/>
    </row>
    <row r="23" spans="1:5" ht="15">
      <c r="A23" s="255"/>
      <c r="B23" s="256"/>
      <c r="C23" s="256"/>
      <c r="D23" s="256"/>
      <c r="E23" s="256"/>
    </row>
    <row r="24" spans="1:5" ht="15">
      <c r="A24" s="255"/>
      <c r="B24" s="256"/>
      <c r="C24" s="256"/>
      <c r="D24" s="256"/>
      <c r="E24" s="256"/>
    </row>
    <row r="25" spans="1:5" ht="15.75">
      <c r="A25" s="266" t="s">
        <v>15</v>
      </c>
      <c r="B25" s="267"/>
      <c r="C25" s="267"/>
      <c r="D25" s="267"/>
      <c r="E25" s="267"/>
    </row>
    <row r="26" spans="1:5" ht="15">
      <c r="A26" s="255"/>
      <c r="B26" s="256"/>
      <c r="C26" s="256"/>
      <c r="D26" s="256"/>
      <c r="E26" s="256"/>
    </row>
    <row r="27" spans="1:5" ht="15">
      <c r="A27" s="265"/>
      <c r="B27" s="268"/>
      <c r="C27" s="268"/>
      <c r="D27" s="268"/>
      <c r="E27" s="268"/>
    </row>
    <row r="28" spans="1:5" ht="15">
      <c r="A28" s="265"/>
      <c r="B28" s="268"/>
      <c r="C28" s="268"/>
      <c r="D28" s="268"/>
      <c r="E28" s="268"/>
    </row>
    <row r="29" spans="1:5" ht="15.75">
      <c r="A29" s="269" t="s">
        <v>16</v>
      </c>
      <c r="B29" s="270"/>
      <c r="C29" s="270"/>
      <c r="D29" s="270"/>
      <c r="E29" s="270"/>
    </row>
    <row r="30" spans="1:5" ht="15.75" customHeight="1">
      <c r="A30" s="234"/>
      <c r="B30" s="235"/>
      <c r="C30" s="235"/>
      <c r="D30" s="235"/>
      <c r="E30" s="235"/>
    </row>
    <row r="31" spans="1:5" ht="15.75" customHeight="1">
      <c r="A31" s="234"/>
      <c r="B31" s="235"/>
      <c r="C31" s="235"/>
      <c r="D31" s="235"/>
      <c r="E31" s="235"/>
    </row>
    <row r="32" spans="1:5" ht="14.25" customHeight="1">
      <c r="A32" s="236"/>
      <c r="B32" s="237"/>
      <c r="C32" s="237"/>
      <c r="D32" s="237"/>
      <c r="E32" s="237"/>
    </row>
    <row r="33" spans="1:5">
      <c r="A33" s="253"/>
      <c r="B33" s="254"/>
      <c r="C33" s="254"/>
      <c r="D33" s="254"/>
      <c r="E33" s="254"/>
    </row>
  </sheetData>
  <mergeCells count="19">
    <mergeCell ref="A33:E33"/>
    <mergeCell ref="A27:E27"/>
    <mergeCell ref="A28:E28"/>
    <mergeCell ref="A29:E29"/>
    <mergeCell ref="A30:E30"/>
    <mergeCell ref="A31:E31"/>
    <mergeCell ref="A32:E32"/>
    <mergeCell ref="A26:E26"/>
    <mergeCell ref="A3:A4"/>
    <mergeCell ref="A7:E7"/>
    <mergeCell ref="A17:E17"/>
    <mergeCell ref="A18:E18"/>
    <mergeCell ref="A19:E19"/>
    <mergeCell ref="A20:E20"/>
    <mergeCell ref="A21:E21"/>
    <mergeCell ref="A22:E22"/>
    <mergeCell ref="A23:E23"/>
    <mergeCell ref="A24:E24"/>
    <mergeCell ref="A25:E2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1A10F-E12F-47FC-82AD-961A6730331F}">
  <dimension ref="A2:F33"/>
  <sheetViews>
    <sheetView rightToLeft="1" workbookViewId="0">
      <selection activeCell="A19" sqref="A19:E19"/>
    </sheetView>
  </sheetViews>
  <sheetFormatPr defaultRowHeight="14.25"/>
  <cols>
    <col min="1" max="2" width="69.25" customWidth="1"/>
    <col min="3" max="3" width="13.125" customWidth="1"/>
    <col min="4" max="4" width="14" bestFit="1" customWidth="1"/>
    <col min="5" max="5" width="13.875" customWidth="1"/>
    <col min="6" max="6" width="69" bestFit="1" customWidth="1"/>
  </cols>
  <sheetData>
    <row r="2" spans="1:6" ht="15">
      <c r="C2" s="174"/>
    </row>
    <row r="3" spans="1:6" ht="38.25" customHeight="1">
      <c r="A3" s="243" t="s">
        <v>164</v>
      </c>
      <c r="B3" s="178"/>
      <c r="C3" s="271"/>
      <c r="D3" s="182" t="s">
        <v>1</v>
      </c>
      <c r="E3" s="185" t="s">
        <v>2</v>
      </c>
    </row>
    <row r="4" spans="1:6" ht="15.75" thickBot="1">
      <c r="A4" s="244"/>
      <c r="B4" s="179"/>
      <c r="C4" s="272"/>
      <c r="D4" s="180" t="s">
        <v>188</v>
      </c>
      <c r="E4" s="181" t="s">
        <v>191</v>
      </c>
    </row>
    <row r="5" spans="1:6" ht="15.75" thickBot="1">
      <c r="A5" s="182" t="s">
        <v>165</v>
      </c>
      <c r="B5" s="183"/>
      <c r="C5" s="186"/>
      <c r="D5" s="187"/>
      <c r="E5" s="187"/>
      <c r="F5" s="177"/>
    </row>
    <row r="6" spans="1:6" ht="15.75" thickBot="1">
      <c r="A6" s="182" t="s">
        <v>10</v>
      </c>
      <c r="B6" s="182"/>
      <c r="C6" s="188">
        <v>1</v>
      </c>
      <c r="D6" s="188">
        <v>2</v>
      </c>
      <c r="E6" s="188">
        <v>3</v>
      </c>
    </row>
    <row r="7" spans="1:6" ht="15.75" thickBot="1">
      <c r="A7" s="240" t="s">
        <v>168</v>
      </c>
      <c r="B7" s="241"/>
      <c r="C7" s="241"/>
      <c r="D7" s="241"/>
      <c r="E7" s="242"/>
    </row>
    <row r="8" spans="1:6" ht="51.75" customHeight="1">
      <c r="A8" s="175" t="s">
        <v>166</v>
      </c>
      <c r="B8" s="201" t="s">
        <v>169</v>
      </c>
      <c r="C8" s="189">
        <v>8</v>
      </c>
      <c r="D8" s="189">
        <v>8</v>
      </c>
      <c r="E8" s="189">
        <v>8</v>
      </c>
    </row>
    <row r="9" spans="1:6" ht="51" customHeight="1">
      <c r="A9" s="176" t="s">
        <v>167</v>
      </c>
      <c r="B9" s="202" t="s">
        <v>180</v>
      </c>
      <c r="C9" s="190">
        <v>7</v>
      </c>
      <c r="D9" s="190">
        <v>6</v>
      </c>
      <c r="E9" s="190">
        <v>7</v>
      </c>
    </row>
    <row r="10" spans="1:6" ht="34.5" customHeight="1">
      <c r="A10" s="176" t="s">
        <v>170</v>
      </c>
      <c r="B10" s="203" t="s">
        <v>178</v>
      </c>
      <c r="C10" s="190">
        <v>6</v>
      </c>
      <c r="D10" s="190">
        <v>7</v>
      </c>
      <c r="E10" s="190">
        <v>7</v>
      </c>
    </row>
    <row r="11" spans="1:6" ht="39" customHeight="1">
      <c r="A11" s="176" t="s">
        <v>171</v>
      </c>
      <c r="B11" s="202" t="s">
        <v>181</v>
      </c>
      <c r="C11" s="190">
        <v>6</v>
      </c>
      <c r="D11" s="190">
        <v>6</v>
      </c>
      <c r="E11" s="190">
        <v>7</v>
      </c>
    </row>
    <row r="12" spans="1:6" ht="28.5">
      <c r="A12" s="176" t="s">
        <v>172</v>
      </c>
      <c r="B12" s="202" t="s">
        <v>179</v>
      </c>
      <c r="C12" s="190">
        <v>7</v>
      </c>
      <c r="D12" s="190">
        <v>6</v>
      </c>
      <c r="E12" s="190">
        <v>7</v>
      </c>
    </row>
    <row r="13" spans="1:6" ht="28.5">
      <c r="A13" s="176" t="s">
        <v>173</v>
      </c>
      <c r="B13" s="204" t="s">
        <v>177</v>
      </c>
      <c r="C13" s="190">
        <v>7</v>
      </c>
      <c r="D13" s="190">
        <v>6</v>
      </c>
      <c r="E13" s="190">
        <v>7</v>
      </c>
    </row>
    <row r="14" spans="1:6" ht="15">
      <c r="A14" s="176" t="s">
        <v>186</v>
      </c>
      <c r="B14" s="204" t="s">
        <v>184</v>
      </c>
      <c r="C14" s="190" t="s">
        <v>88</v>
      </c>
      <c r="D14" s="190" t="s">
        <v>88</v>
      </c>
      <c r="E14" s="190" t="s">
        <v>88</v>
      </c>
    </row>
    <row r="15" spans="1:6" ht="28.5">
      <c r="A15" s="176" t="s">
        <v>174</v>
      </c>
      <c r="B15" s="204" t="s">
        <v>176</v>
      </c>
      <c r="C15" s="190">
        <v>7</v>
      </c>
      <c r="D15" s="190">
        <v>7</v>
      </c>
      <c r="E15" s="190">
        <v>7</v>
      </c>
    </row>
    <row r="16" spans="1:6" ht="15">
      <c r="A16" s="184" t="s">
        <v>175</v>
      </c>
      <c r="B16" s="191"/>
      <c r="C16" s="192">
        <f>AVERAGE(C8:C15)</f>
        <v>6.8571428571428568</v>
      </c>
      <c r="D16" s="192">
        <f>AVERAGE(D8:D15)</f>
        <v>6.5714285714285712</v>
      </c>
      <c r="E16" s="192">
        <f>AVERAGE(E8:E15)</f>
        <v>7.1428571428571432</v>
      </c>
    </row>
    <row r="17" spans="1:5" ht="15">
      <c r="A17" s="246" t="s">
        <v>13</v>
      </c>
      <c r="B17" s="247"/>
      <c r="C17" s="247"/>
      <c r="D17" s="247"/>
      <c r="E17" s="248"/>
    </row>
    <row r="18" spans="1:5" ht="15.75" customHeight="1">
      <c r="A18" s="249"/>
      <c r="B18" s="250"/>
      <c r="C18" s="250"/>
      <c r="D18" s="250"/>
      <c r="E18" s="250"/>
    </row>
    <row r="19" spans="1:5" ht="15.75" customHeight="1">
      <c r="A19" s="234"/>
      <c r="B19" s="250"/>
      <c r="C19" s="250"/>
      <c r="D19" s="250"/>
      <c r="E19" s="250"/>
    </row>
    <row r="20" spans="1:5" ht="15.75" customHeight="1">
      <c r="A20" s="234"/>
      <c r="B20" s="250"/>
      <c r="C20" s="250"/>
      <c r="D20" s="250"/>
      <c r="E20" s="250"/>
    </row>
    <row r="21" spans="1:5" ht="15">
      <c r="A21" s="246" t="s">
        <v>14</v>
      </c>
      <c r="B21" s="247"/>
      <c r="C21" s="247"/>
      <c r="D21" s="247"/>
      <c r="E21" s="247"/>
    </row>
    <row r="22" spans="1:5">
      <c r="A22" s="249"/>
      <c r="B22" s="250"/>
      <c r="C22" s="250"/>
      <c r="D22" s="250"/>
      <c r="E22" s="250"/>
    </row>
    <row r="23" spans="1:5">
      <c r="A23" s="249"/>
      <c r="B23" s="250"/>
      <c r="C23" s="250"/>
      <c r="D23" s="250"/>
      <c r="E23" s="250"/>
    </row>
    <row r="24" spans="1:5">
      <c r="A24" s="249"/>
      <c r="B24" s="250"/>
      <c r="C24" s="250"/>
      <c r="D24" s="250"/>
      <c r="E24" s="250"/>
    </row>
    <row r="25" spans="1:5" ht="15">
      <c r="A25" s="251" t="s">
        <v>15</v>
      </c>
      <c r="B25" s="252"/>
      <c r="C25" s="252"/>
      <c r="D25" s="252"/>
      <c r="E25" s="252"/>
    </row>
    <row r="26" spans="1:5">
      <c r="A26" s="249"/>
      <c r="B26" s="250"/>
      <c r="C26" s="250"/>
      <c r="D26" s="250"/>
      <c r="E26" s="250"/>
    </row>
    <row r="27" spans="1:5">
      <c r="A27" s="234"/>
      <c r="B27" s="235"/>
      <c r="C27" s="235"/>
      <c r="D27" s="235"/>
      <c r="E27" s="235"/>
    </row>
    <row r="28" spans="1:5">
      <c r="A28" s="234"/>
      <c r="B28" s="235"/>
      <c r="C28" s="235"/>
      <c r="D28" s="235"/>
      <c r="E28" s="235"/>
    </row>
    <row r="29" spans="1:5" ht="15">
      <c r="A29" s="232" t="s">
        <v>16</v>
      </c>
      <c r="B29" s="233"/>
      <c r="C29" s="233"/>
      <c r="D29" s="233"/>
      <c r="E29" s="233"/>
    </row>
    <row r="30" spans="1:5" ht="15.75" customHeight="1">
      <c r="A30" s="234"/>
      <c r="B30" s="235"/>
      <c r="C30" s="235"/>
      <c r="D30" s="235"/>
      <c r="E30" s="235"/>
    </row>
    <row r="31" spans="1:5" ht="15.75" customHeight="1">
      <c r="A31" s="234"/>
      <c r="B31" s="235"/>
      <c r="C31" s="235"/>
      <c r="D31" s="235"/>
      <c r="E31" s="235"/>
    </row>
    <row r="32" spans="1:5" ht="14.25" customHeight="1">
      <c r="A32" s="236"/>
      <c r="B32" s="237"/>
      <c r="C32" s="237"/>
      <c r="D32" s="237"/>
      <c r="E32" s="237"/>
    </row>
    <row r="33" spans="1:5">
      <c r="A33" s="238"/>
      <c r="B33" s="239"/>
      <c r="C33" s="239"/>
      <c r="D33" s="239"/>
      <c r="E33" s="239"/>
    </row>
  </sheetData>
  <mergeCells count="20">
    <mergeCell ref="A25:E25"/>
    <mergeCell ref="A3:A4"/>
    <mergeCell ref="C3:C4"/>
    <mergeCell ref="A7:E7"/>
    <mergeCell ref="A17:E17"/>
    <mergeCell ref="A18:E18"/>
    <mergeCell ref="A19:E19"/>
    <mergeCell ref="A20:E20"/>
    <mergeCell ref="A21:E21"/>
    <mergeCell ref="A22:E22"/>
    <mergeCell ref="A23:E23"/>
    <mergeCell ref="A24:E24"/>
    <mergeCell ref="A32:E32"/>
    <mergeCell ref="A33:E33"/>
    <mergeCell ref="A26:E26"/>
    <mergeCell ref="A27:E27"/>
    <mergeCell ref="A28:E28"/>
    <mergeCell ref="A29:E29"/>
    <mergeCell ref="A30:E30"/>
    <mergeCell ref="A31:E31"/>
  </mergeCells>
  <conditionalFormatting sqref="C3">
    <cfRule type="cellIs" dxfId="24" priority="1" stopIfTrue="1" operator="greaterThanOrEqual">
      <formula>85</formula>
    </cfRule>
    <cfRule type="cellIs" dxfId="23" priority="2" stopIfTrue="1" operator="lessThan">
      <formula>85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36"/>
  <sheetViews>
    <sheetView rightToLeft="1" workbookViewId="0">
      <selection activeCell="A35" sqref="A35:D35"/>
    </sheetView>
  </sheetViews>
  <sheetFormatPr defaultRowHeight="14.25"/>
  <cols>
    <col min="1" max="1" width="62.375" customWidth="1"/>
    <col min="2" max="2" width="19.625" customWidth="1"/>
    <col min="3" max="3" width="16.375" customWidth="1"/>
    <col min="4" max="4" width="21.375" customWidth="1"/>
    <col min="6" max="13" width="9" customWidth="1"/>
  </cols>
  <sheetData>
    <row r="1" spans="1:12">
      <c r="G1" t="s">
        <v>3</v>
      </c>
    </row>
    <row r="2" spans="1:12" ht="15.75">
      <c r="A2" s="273" t="s">
        <v>0</v>
      </c>
      <c r="B2" s="275">
        <f>AVERAGE(B8:D8)</f>
        <v>100</v>
      </c>
      <c r="C2" s="19" t="s">
        <v>1</v>
      </c>
      <c r="D2" s="277" t="s">
        <v>2</v>
      </c>
      <c r="E2" s="278"/>
      <c r="G2" t="s">
        <v>4</v>
      </c>
    </row>
    <row r="3" spans="1:12" ht="15.75">
      <c r="A3" s="274"/>
      <c r="B3" s="276"/>
      <c r="C3" s="11" t="s">
        <v>124</v>
      </c>
      <c r="D3" s="279" t="s">
        <v>111</v>
      </c>
      <c r="E3" s="280"/>
      <c r="G3" t="s">
        <v>7</v>
      </c>
    </row>
    <row r="4" spans="1:12" ht="15.75">
      <c r="A4" s="277" t="s">
        <v>5</v>
      </c>
      <c r="B4" s="281"/>
      <c r="C4" s="281"/>
      <c r="D4" s="278"/>
      <c r="E4" s="20" t="s">
        <v>6</v>
      </c>
    </row>
    <row r="5" spans="1:12" ht="15.75">
      <c r="A5" s="12" t="s">
        <v>8</v>
      </c>
      <c r="B5" s="26" t="s">
        <v>123</v>
      </c>
      <c r="C5" s="27" t="s">
        <v>116</v>
      </c>
      <c r="D5" s="27" t="s">
        <v>120</v>
      </c>
      <c r="E5" s="1"/>
    </row>
    <row r="6" spans="1:12" ht="15.75">
      <c r="A6" s="12" t="s">
        <v>9</v>
      </c>
      <c r="B6" s="26" t="s">
        <v>114</v>
      </c>
      <c r="C6" s="27" t="s">
        <v>115</v>
      </c>
      <c r="D6" s="16" t="s">
        <v>119</v>
      </c>
      <c r="E6" s="1"/>
    </row>
    <row r="7" spans="1:12" ht="15.75">
      <c r="A7" s="12" t="s">
        <v>10</v>
      </c>
      <c r="B7" s="26">
        <v>1</v>
      </c>
      <c r="C7" s="17">
        <v>2</v>
      </c>
      <c r="D7" s="17">
        <v>3</v>
      </c>
      <c r="E7" s="3">
        <f>SUM(E10:E25)</f>
        <v>0.99999999999999989</v>
      </c>
    </row>
    <row r="8" spans="1:12" ht="15.75">
      <c r="A8" s="12" t="s">
        <v>11</v>
      </c>
      <c r="B8" s="16">
        <f>J23</f>
        <v>99.999999999999986</v>
      </c>
      <c r="C8" s="16">
        <f>K23</f>
        <v>99.999999999999986</v>
      </c>
      <c r="D8" s="16">
        <v>100</v>
      </c>
      <c r="E8" s="5"/>
    </row>
    <row r="9" spans="1:12" ht="15.75">
      <c r="A9" s="12" t="s">
        <v>26</v>
      </c>
      <c r="B9" s="4" t="s">
        <v>27</v>
      </c>
      <c r="C9" s="4" t="s">
        <v>27</v>
      </c>
      <c r="D9" s="4" t="s">
        <v>27</v>
      </c>
      <c r="E9" s="5"/>
    </row>
    <row r="10" spans="1:12" ht="15.75">
      <c r="A10" s="282" t="s">
        <v>17</v>
      </c>
      <c r="B10" s="283"/>
      <c r="C10" s="283"/>
      <c r="D10" s="284"/>
      <c r="E10" s="19"/>
      <c r="J10" t="s">
        <v>21</v>
      </c>
      <c r="K10" t="s">
        <v>22</v>
      </c>
      <c r="L10" t="s">
        <v>23</v>
      </c>
    </row>
    <row r="11" spans="1:12" ht="15.75">
      <c r="A11" s="13" t="s">
        <v>32</v>
      </c>
      <c r="B11" s="6" t="s">
        <v>3</v>
      </c>
      <c r="C11" s="6" t="s">
        <v>3</v>
      </c>
      <c r="D11" s="6" t="s">
        <v>3</v>
      </c>
      <c r="E11" s="8">
        <v>0.1</v>
      </c>
      <c r="J11">
        <f>IF(B11="בוצע",E11,0)</f>
        <v>0.1</v>
      </c>
      <c r="K11">
        <f>IF(C11="בוצע",E11,0)</f>
        <v>0.1</v>
      </c>
      <c r="L11">
        <f>IF(D11="בוצע",E11,0)</f>
        <v>0.1</v>
      </c>
    </row>
    <row r="12" spans="1:12" ht="15.75">
      <c r="A12" s="13" t="s">
        <v>18</v>
      </c>
      <c r="B12" s="6" t="s">
        <v>3</v>
      </c>
      <c r="C12" s="6" t="s">
        <v>3</v>
      </c>
      <c r="D12" s="6" t="s">
        <v>3</v>
      </c>
      <c r="E12" s="7">
        <v>0.1</v>
      </c>
      <c r="J12">
        <f>IF(B12="בוצע",E12,0)</f>
        <v>0.1</v>
      </c>
      <c r="K12">
        <f>IF(C12="בוצע",E12,0)</f>
        <v>0.1</v>
      </c>
      <c r="L12">
        <f>IF(D12="בוצע",E12,0)</f>
        <v>0.1</v>
      </c>
    </row>
    <row r="13" spans="1:12" ht="15.75">
      <c r="A13" s="34" t="s">
        <v>35</v>
      </c>
      <c r="B13" s="6" t="s">
        <v>3</v>
      </c>
      <c r="C13" s="6" t="s">
        <v>3</v>
      </c>
      <c r="D13" s="6" t="s">
        <v>3</v>
      </c>
      <c r="E13" s="8">
        <v>0.08</v>
      </c>
      <c r="J13">
        <f>IF(B13="בוצע",E13,0)</f>
        <v>0.08</v>
      </c>
      <c r="K13">
        <f>IF(C13="בוצע",E13,0)</f>
        <v>0.08</v>
      </c>
      <c r="L13">
        <f>IF(D13="בוצע",E13,0)</f>
        <v>0.08</v>
      </c>
    </row>
    <row r="14" spans="1:12" ht="15.75">
      <c r="A14" s="21" t="s">
        <v>24</v>
      </c>
      <c r="B14" s="6" t="s">
        <v>3</v>
      </c>
      <c r="C14" s="6" t="s">
        <v>3</v>
      </c>
      <c r="D14" s="6" t="s">
        <v>3</v>
      </c>
      <c r="E14" s="7">
        <v>0.08</v>
      </c>
      <c r="J14">
        <f>IF(B14="בוצע",E14,0)</f>
        <v>0.08</v>
      </c>
      <c r="K14">
        <f>IF(C14="בוצע",E14,0)</f>
        <v>0.08</v>
      </c>
      <c r="L14">
        <f>IF(D14="בוצע",E14,0)</f>
        <v>0.08</v>
      </c>
    </row>
    <row r="15" spans="1:12" ht="15.75">
      <c r="A15" s="13" t="s">
        <v>37</v>
      </c>
      <c r="B15" s="6" t="s">
        <v>3</v>
      </c>
      <c r="C15" s="6" t="s">
        <v>3</v>
      </c>
      <c r="D15" s="6" t="s">
        <v>3</v>
      </c>
      <c r="E15" s="8">
        <v>0.1</v>
      </c>
      <c r="J15">
        <f>IF(B15="בוצע",E15,0)</f>
        <v>0.1</v>
      </c>
      <c r="K15">
        <f>IF(C15="בוצע",E15,0)</f>
        <v>0.1</v>
      </c>
      <c r="L15">
        <f>IF(D15="בוצע",E15,0)</f>
        <v>0.1</v>
      </c>
    </row>
    <row r="16" spans="1:12" ht="15.75">
      <c r="A16" s="209" t="s">
        <v>19</v>
      </c>
      <c r="B16" s="210"/>
      <c r="C16" s="210"/>
      <c r="D16" s="211"/>
      <c r="E16" s="9"/>
    </row>
    <row r="17" spans="1:15" ht="15.75">
      <c r="A17" s="22" t="s">
        <v>25</v>
      </c>
      <c r="B17" s="6" t="s">
        <v>3</v>
      </c>
      <c r="C17" s="6" t="s">
        <v>3</v>
      </c>
      <c r="D17" s="6" t="s">
        <v>3</v>
      </c>
      <c r="E17" s="7">
        <v>0.09</v>
      </c>
      <c r="J17">
        <f t="shared" ref="J17:J22" si="0">IF(B17="בוצע",E17,0)</f>
        <v>0.09</v>
      </c>
      <c r="K17">
        <f t="shared" ref="K17:K22" si="1">IF(C17="בוצע",E17,0)</f>
        <v>0.09</v>
      </c>
      <c r="L17">
        <f t="shared" ref="L17:L22" si="2">IF(D17="בוצע",E17,0)</f>
        <v>0.09</v>
      </c>
    </row>
    <row r="18" spans="1:15" ht="15.75">
      <c r="A18" s="22" t="s">
        <v>34</v>
      </c>
      <c r="B18" s="6" t="s">
        <v>3</v>
      </c>
      <c r="C18" s="6" t="s">
        <v>3</v>
      </c>
      <c r="D18" s="6" t="s">
        <v>3</v>
      </c>
      <c r="E18" s="7">
        <v>0.08</v>
      </c>
      <c r="J18">
        <f t="shared" si="0"/>
        <v>0.08</v>
      </c>
      <c r="K18">
        <f t="shared" si="1"/>
        <v>0.08</v>
      </c>
      <c r="L18">
        <f t="shared" si="2"/>
        <v>0.08</v>
      </c>
    </row>
    <row r="19" spans="1:15" ht="15.75">
      <c r="A19" s="13" t="s">
        <v>12</v>
      </c>
      <c r="B19" s="6" t="s">
        <v>3</v>
      </c>
      <c r="C19" s="6" t="s">
        <v>3</v>
      </c>
      <c r="D19" s="6" t="s">
        <v>3</v>
      </c>
      <c r="E19" s="2">
        <v>0.08</v>
      </c>
      <c r="J19">
        <f t="shared" si="0"/>
        <v>0.08</v>
      </c>
      <c r="K19">
        <f t="shared" si="1"/>
        <v>0.08</v>
      </c>
      <c r="L19">
        <f t="shared" si="2"/>
        <v>0.08</v>
      </c>
    </row>
    <row r="20" spans="1:15" ht="15.75">
      <c r="A20" s="14" t="s">
        <v>33</v>
      </c>
      <c r="B20" s="6" t="s">
        <v>3</v>
      </c>
      <c r="C20" s="6" t="s">
        <v>3</v>
      </c>
      <c r="D20" s="6" t="s">
        <v>3</v>
      </c>
      <c r="E20" s="7">
        <v>0.09</v>
      </c>
      <c r="J20">
        <f t="shared" si="0"/>
        <v>0.09</v>
      </c>
      <c r="K20">
        <f t="shared" si="1"/>
        <v>0.09</v>
      </c>
      <c r="L20">
        <f t="shared" si="2"/>
        <v>0.09</v>
      </c>
    </row>
    <row r="21" spans="1:15" ht="15.75">
      <c r="A21" s="14" t="s">
        <v>20</v>
      </c>
      <c r="B21" s="6" t="s">
        <v>3</v>
      </c>
      <c r="C21" s="6" t="s">
        <v>3</v>
      </c>
      <c r="D21" s="6" t="s">
        <v>3</v>
      </c>
      <c r="E21" s="2">
        <v>0.1</v>
      </c>
      <c r="J21">
        <f t="shared" si="0"/>
        <v>0.1</v>
      </c>
      <c r="K21">
        <f t="shared" si="1"/>
        <v>0.1</v>
      </c>
      <c r="L21">
        <f t="shared" si="2"/>
        <v>0.1</v>
      </c>
    </row>
    <row r="22" spans="1:15" ht="15.75">
      <c r="A22" s="14" t="s">
        <v>36</v>
      </c>
      <c r="B22" s="6" t="s">
        <v>3</v>
      </c>
      <c r="C22" s="6" t="s">
        <v>3</v>
      </c>
      <c r="D22" s="6" t="s">
        <v>3</v>
      </c>
      <c r="E22" s="7">
        <v>0.1</v>
      </c>
      <c r="J22">
        <f t="shared" si="0"/>
        <v>0.1</v>
      </c>
      <c r="K22">
        <f t="shared" si="1"/>
        <v>0.1</v>
      </c>
      <c r="L22">
        <f t="shared" si="2"/>
        <v>0.1</v>
      </c>
    </row>
    <row r="23" spans="1:15" ht="15.75">
      <c r="A23" s="209" t="s">
        <v>13</v>
      </c>
      <c r="B23" s="210"/>
      <c r="C23" s="210"/>
      <c r="D23" s="211"/>
      <c r="E23" s="19"/>
      <c r="J23">
        <f>SUM(J11:J15,J17:J22)*100</f>
        <v>99.999999999999986</v>
      </c>
      <c r="K23">
        <f>SUM(K11:K15,K17:K22)*100</f>
        <v>99.999999999999986</v>
      </c>
      <c r="L23">
        <f>SUM(L11:L15,L17:L22)*100</f>
        <v>99.999999999999986</v>
      </c>
    </row>
    <row r="24" spans="1:15" ht="15.75">
      <c r="A24" s="24" t="s">
        <v>112</v>
      </c>
      <c r="B24" s="6"/>
      <c r="C24" s="6"/>
      <c r="D24" s="6"/>
      <c r="E24" s="2"/>
    </row>
    <row r="25" spans="1:15" ht="15.75">
      <c r="A25" s="25" t="s">
        <v>117</v>
      </c>
      <c r="B25" s="6"/>
      <c r="C25" s="6"/>
      <c r="D25" s="6"/>
      <c r="E25" s="7"/>
    </row>
    <row r="26" spans="1:15" ht="15.75">
      <c r="A26" s="28" t="s">
        <v>121</v>
      </c>
      <c r="B26" s="6"/>
      <c r="C26" s="6"/>
      <c r="D26" s="6"/>
      <c r="E26" s="7"/>
    </row>
    <row r="27" spans="1:15" ht="15.75">
      <c r="A27" s="212" t="s">
        <v>14</v>
      </c>
      <c r="B27" s="213"/>
      <c r="C27" s="213"/>
      <c r="D27" s="214"/>
      <c r="E27" s="9"/>
      <c r="G27" s="15"/>
      <c r="H27" s="15"/>
      <c r="I27" s="15"/>
      <c r="J27" s="15"/>
      <c r="K27" s="15"/>
      <c r="L27" s="15"/>
      <c r="M27" s="18"/>
      <c r="N27" s="18"/>
      <c r="O27" s="18"/>
    </row>
    <row r="28" spans="1:15" ht="15.75">
      <c r="A28" s="285"/>
      <c r="B28" s="286"/>
      <c r="C28" s="286"/>
      <c r="D28" s="287"/>
      <c r="E28" s="2"/>
      <c r="G28" s="15"/>
      <c r="H28" s="15"/>
      <c r="I28" s="15"/>
      <c r="J28" s="15"/>
      <c r="K28" s="15"/>
      <c r="L28" s="15"/>
      <c r="M28" s="18"/>
      <c r="N28" s="18"/>
      <c r="O28" s="18"/>
    </row>
    <row r="29" spans="1:15" ht="15.75">
      <c r="A29" s="218"/>
      <c r="B29" s="219"/>
      <c r="C29" s="219"/>
      <c r="D29" s="220"/>
      <c r="E29" s="10"/>
      <c r="G29" s="15"/>
      <c r="H29" s="15"/>
      <c r="I29" s="15"/>
      <c r="J29" s="15"/>
      <c r="K29" s="15"/>
      <c r="L29" s="15"/>
      <c r="M29" s="18"/>
      <c r="N29" s="18"/>
      <c r="O29" s="18"/>
    </row>
    <row r="30" spans="1:15" ht="15.75">
      <c r="A30" s="221" t="s">
        <v>15</v>
      </c>
      <c r="B30" s="222"/>
      <c r="C30" s="222"/>
      <c r="D30" s="223"/>
      <c r="E30" s="10"/>
      <c r="G30" s="15"/>
      <c r="H30" s="15"/>
      <c r="I30" s="15"/>
      <c r="J30" s="15"/>
      <c r="K30" s="15"/>
      <c r="L30" s="15"/>
      <c r="M30" s="18"/>
      <c r="N30" s="18"/>
      <c r="O30" s="18"/>
    </row>
    <row r="31" spans="1:15" ht="15.75">
      <c r="A31" s="215" t="s">
        <v>113</v>
      </c>
      <c r="B31" s="216"/>
      <c r="C31" s="216"/>
      <c r="D31" s="217"/>
      <c r="E31" s="10"/>
      <c r="I31" s="18"/>
      <c r="J31" s="18"/>
      <c r="K31" s="18"/>
      <c r="L31" s="18"/>
      <c r="M31" s="18"/>
      <c r="N31" s="18"/>
      <c r="O31" s="18"/>
    </row>
    <row r="32" spans="1:15" ht="15.75">
      <c r="A32" s="225" t="s">
        <v>122</v>
      </c>
      <c r="B32" s="226"/>
      <c r="C32" s="226"/>
      <c r="D32" s="227"/>
      <c r="E32" s="10"/>
      <c r="I32" s="18"/>
      <c r="J32" s="18"/>
      <c r="K32" s="18"/>
      <c r="L32" s="18"/>
      <c r="M32" s="18"/>
      <c r="N32" s="18"/>
      <c r="O32" s="18"/>
    </row>
    <row r="33" spans="1:5" ht="15.75">
      <c r="A33" s="221" t="s">
        <v>16</v>
      </c>
      <c r="B33" s="222"/>
      <c r="C33" s="222"/>
      <c r="D33" s="223"/>
      <c r="E33" s="10"/>
    </row>
    <row r="34" spans="1:5" ht="15.75">
      <c r="A34" s="225" t="s">
        <v>118</v>
      </c>
      <c r="B34" s="226"/>
      <c r="C34" s="226"/>
      <c r="D34" s="227"/>
      <c r="E34" s="10"/>
    </row>
    <row r="35" spans="1:5" ht="15" customHeight="1">
      <c r="A35" s="288"/>
      <c r="B35" s="289"/>
      <c r="C35" s="289"/>
      <c r="D35" s="290"/>
      <c r="E35" s="10"/>
    </row>
    <row r="36" spans="1:5" ht="30" customHeight="1">
      <c r="A36" s="291"/>
      <c r="B36" s="291"/>
      <c r="C36" s="291"/>
      <c r="D36" s="291"/>
      <c r="E36" s="23"/>
    </row>
  </sheetData>
  <mergeCells count="18">
    <mergeCell ref="A34:D34"/>
    <mergeCell ref="A35:D35"/>
    <mergeCell ref="A36:D36"/>
    <mergeCell ref="A29:D29"/>
    <mergeCell ref="A30:D30"/>
    <mergeCell ref="A31:D31"/>
    <mergeCell ref="A32:D32"/>
    <mergeCell ref="A33:D33"/>
    <mergeCell ref="A10:D10"/>
    <mergeCell ref="A16:D16"/>
    <mergeCell ref="A23:D23"/>
    <mergeCell ref="A27:D27"/>
    <mergeCell ref="A28:D28"/>
    <mergeCell ref="A2:A3"/>
    <mergeCell ref="B2:B3"/>
    <mergeCell ref="D2:E2"/>
    <mergeCell ref="D3:E3"/>
    <mergeCell ref="A4:D4"/>
  </mergeCells>
  <conditionalFormatting sqref="B2">
    <cfRule type="cellIs" dxfId="22" priority="1" stopIfTrue="1" operator="greaterThanOrEqual">
      <formula>85</formula>
    </cfRule>
    <cfRule type="cellIs" dxfId="21" priority="2" stopIfTrue="1" operator="lessThan">
      <formula>85</formula>
    </cfRule>
  </conditionalFormatting>
  <conditionalFormatting sqref="B11:D15 B17:D22 B24:D26">
    <cfRule type="cellIs" dxfId="20" priority="3" stopIfTrue="1" operator="equal">
      <formula>"לא בוצע"</formula>
    </cfRule>
    <cfRule type="cellIs" dxfId="19" priority="4" stopIfTrue="1" operator="equal">
      <formula>"בוצע"</formula>
    </cfRule>
    <cfRule type="cellIs" dxfId="18" priority="5" stopIfTrue="1" operator="equal">
      <formula>"לא רלוונטי"</formula>
    </cfRule>
  </conditionalFormatting>
  <dataValidations count="3">
    <dataValidation type="list" allowBlank="1" showInputMessage="1" showErrorMessage="1" sqref="B11:B15" xr:uid="{00000000-0002-0000-1100-000000000000}">
      <formula1>$G$1:$G$9</formula1>
    </dataValidation>
    <dataValidation type="list" allowBlank="1" showInputMessage="1" showErrorMessage="1" sqref="B24:D26" xr:uid="{00000000-0002-0000-1100-000001000000}">
      <formula1>$G$4:$G$6</formula1>
    </dataValidation>
    <dataValidation type="list" allowBlank="1" showInputMessage="1" showErrorMessage="1" sqref="C11:D15 B17:D22" xr:uid="{00000000-0002-0000-1100-000002000000}">
      <formula1>$G$1:$G$6</formula1>
    </dataValidation>
  </dataValidations>
  <pageMargins left="0.7" right="0.7" top="0.75" bottom="0.75" header="0.3" footer="0.3"/>
  <pageSetup paperSize="9" scale="6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O36"/>
  <sheetViews>
    <sheetView rightToLeft="1" topLeftCell="A22" workbookViewId="0">
      <selection activeCell="A34" sqref="A34:D34"/>
    </sheetView>
  </sheetViews>
  <sheetFormatPr defaultRowHeight="14.25"/>
  <cols>
    <col min="1" max="1" width="47.125" style="38" customWidth="1"/>
    <col min="2" max="2" width="19.625" customWidth="1"/>
    <col min="3" max="3" width="16.375" customWidth="1"/>
    <col min="4" max="4" width="25.125" customWidth="1"/>
    <col min="6" max="13" width="9" customWidth="1"/>
  </cols>
  <sheetData>
    <row r="1" spans="1:12">
      <c r="C1" s="74"/>
      <c r="D1" s="74"/>
      <c r="E1" s="74"/>
      <c r="G1" t="s">
        <v>3</v>
      </c>
    </row>
    <row r="2" spans="1:12" ht="15.75">
      <c r="A2" s="293" t="s">
        <v>0</v>
      </c>
      <c r="B2" s="275">
        <f>AVERAGE(B8:D8)</f>
        <v>100</v>
      </c>
      <c r="C2" s="19" t="s">
        <v>1</v>
      </c>
      <c r="D2" s="277" t="s">
        <v>2</v>
      </c>
      <c r="E2" s="278"/>
      <c r="G2" t="s">
        <v>4</v>
      </c>
    </row>
    <row r="3" spans="1:12" ht="15.75">
      <c r="A3" s="294"/>
      <c r="B3" s="276"/>
      <c r="C3" s="11" t="s">
        <v>126</v>
      </c>
      <c r="D3" s="279" t="s">
        <v>127</v>
      </c>
      <c r="E3" s="280"/>
      <c r="G3" t="s">
        <v>7</v>
      </c>
    </row>
    <row r="4" spans="1:12" ht="15.75">
      <c r="A4" s="277" t="s">
        <v>5</v>
      </c>
      <c r="B4" s="281"/>
      <c r="C4" s="281"/>
      <c r="D4" s="278"/>
      <c r="E4" s="20" t="s">
        <v>6</v>
      </c>
    </row>
    <row r="5" spans="1:12" ht="15.75">
      <c r="A5" s="67" t="s">
        <v>8</v>
      </c>
      <c r="B5" s="26" t="s">
        <v>130</v>
      </c>
      <c r="C5" s="167" t="s">
        <v>155</v>
      </c>
      <c r="D5" s="27" t="s">
        <v>156</v>
      </c>
      <c r="E5" s="1"/>
    </row>
    <row r="6" spans="1:12" ht="15.75">
      <c r="A6" s="67" t="s">
        <v>9</v>
      </c>
      <c r="B6" s="66" t="s">
        <v>131</v>
      </c>
      <c r="C6" s="167">
        <v>544868641</v>
      </c>
      <c r="D6" s="167">
        <v>48256329</v>
      </c>
      <c r="E6" s="1"/>
    </row>
    <row r="7" spans="1:12" ht="15.75">
      <c r="A7" s="67" t="s">
        <v>10</v>
      </c>
      <c r="B7" s="66">
        <v>1</v>
      </c>
      <c r="C7" s="173">
        <v>2</v>
      </c>
      <c r="D7" s="30">
        <v>3</v>
      </c>
      <c r="E7" s="3">
        <f>SUM(E10:E25)</f>
        <v>0.99999999999999989</v>
      </c>
    </row>
    <row r="8" spans="1:12" ht="15.75">
      <c r="A8" s="67" t="s">
        <v>11</v>
      </c>
      <c r="B8" s="16">
        <f>J23</f>
        <v>99.999999999999986</v>
      </c>
      <c r="C8" s="33">
        <v>100</v>
      </c>
      <c r="D8" s="16">
        <v>100</v>
      </c>
      <c r="E8" s="5"/>
    </row>
    <row r="9" spans="1:12" ht="15.75">
      <c r="A9" s="67" t="s">
        <v>26</v>
      </c>
      <c r="B9" s="4" t="s">
        <v>27</v>
      </c>
      <c r="C9" s="4" t="s">
        <v>27</v>
      </c>
      <c r="D9" s="4" t="s">
        <v>27</v>
      </c>
      <c r="E9" s="5"/>
    </row>
    <row r="10" spans="1:12" ht="15.75">
      <c r="A10" s="282" t="s">
        <v>17</v>
      </c>
      <c r="B10" s="283"/>
      <c r="C10" s="283"/>
      <c r="D10" s="284"/>
      <c r="E10" s="19"/>
      <c r="J10" t="s">
        <v>21</v>
      </c>
      <c r="K10" t="s">
        <v>22</v>
      </c>
      <c r="L10" t="s">
        <v>23</v>
      </c>
    </row>
    <row r="11" spans="1:12" ht="15.75">
      <c r="A11" s="59" t="s">
        <v>32</v>
      </c>
      <c r="B11" s="6" t="s">
        <v>3</v>
      </c>
      <c r="C11" s="6" t="s">
        <v>3</v>
      </c>
      <c r="D11" s="6" t="s">
        <v>3</v>
      </c>
      <c r="E11" s="8">
        <v>0.1</v>
      </c>
      <c r="J11">
        <f>IF(B11="בוצע",E11,0)</f>
        <v>0.1</v>
      </c>
      <c r="K11">
        <f>IF(C11="בוצע",E11,0)</f>
        <v>0.1</v>
      </c>
      <c r="L11">
        <f>IF(D11="בוצע",E11,0)</f>
        <v>0.1</v>
      </c>
    </row>
    <row r="12" spans="1:12" ht="15.75">
      <c r="A12" s="59" t="s">
        <v>18</v>
      </c>
      <c r="B12" s="6" t="s">
        <v>3</v>
      </c>
      <c r="C12" s="6" t="s">
        <v>3</v>
      </c>
      <c r="D12" s="6" t="s">
        <v>3</v>
      </c>
      <c r="E12" s="7">
        <v>0.1</v>
      </c>
      <c r="J12">
        <f>IF(B12="בוצע",E12,0)</f>
        <v>0.1</v>
      </c>
      <c r="K12">
        <f>IF(C12="בוצע",E12,0)</f>
        <v>0.1</v>
      </c>
      <c r="L12">
        <f>IF(D12="בוצע",E12,0)</f>
        <v>0.1</v>
      </c>
    </row>
    <row r="13" spans="1:12" ht="15.75">
      <c r="A13" s="60" t="s">
        <v>35</v>
      </c>
      <c r="B13" s="6" t="s">
        <v>3</v>
      </c>
      <c r="C13" s="6" t="s">
        <v>3</v>
      </c>
      <c r="D13" s="6" t="s">
        <v>3</v>
      </c>
      <c r="E13" s="8">
        <v>0.08</v>
      </c>
      <c r="J13">
        <f>IF(B13="בוצע",E13,0)</f>
        <v>0.08</v>
      </c>
      <c r="K13">
        <f>IF(C13="בוצע",E13,0)</f>
        <v>0.08</v>
      </c>
      <c r="L13">
        <f>IF(D13="בוצע",E13,0)</f>
        <v>0.08</v>
      </c>
    </row>
    <row r="14" spans="1:12" ht="15.75">
      <c r="A14" s="61" t="s">
        <v>24</v>
      </c>
      <c r="B14" s="6" t="s">
        <v>3</v>
      </c>
      <c r="C14" s="6" t="s">
        <v>3</v>
      </c>
      <c r="D14" s="6" t="s">
        <v>3</v>
      </c>
      <c r="E14" s="7">
        <v>0.08</v>
      </c>
      <c r="J14">
        <f>IF(B14="בוצע",E14,0)</f>
        <v>0.08</v>
      </c>
      <c r="K14">
        <f>IF(C14="בוצע",E14,0)</f>
        <v>0.08</v>
      </c>
      <c r="L14">
        <f>IF(D14="בוצע",E14,0)</f>
        <v>0.08</v>
      </c>
    </row>
    <row r="15" spans="1:12" ht="15.75">
      <c r="A15" s="59" t="s">
        <v>37</v>
      </c>
      <c r="B15" s="6" t="s">
        <v>3</v>
      </c>
      <c r="C15" s="6" t="s">
        <v>3</v>
      </c>
      <c r="D15" s="6" t="s">
        <v>3</v>
      </c>
      <c r="E15" s="8">
        <v>0.1</v>
      </c>
      <c r="J15">
        <f>IF(B15="בוצע",E15,0)</f>
        <v>0.1</v>
      </c>
      <c r="K15">
        <f>IF(C15="בוצע",E15,0)</f>
        <v>0.1</v>
      </c>
      <c r="L15">
        <f>IF(D15="בוצע",E15,0)</f>
        <v>0.1</v>
      </c>
    </row>
    <row r="16" spans="1:12" ht="15.75">
      <c r="A16" s="209" t="s">
        <v>19</v>
      </c>
      <c r="B16" s="210"/>
      <c r="C16" s="210"/>
      <c r="D16" s="211"/>
      <c r="E16" s="9"/>
    </row>
    <row r="17" spans="1:15" ht="15.75">
      <c r="A17" s="62" t="s">
        <v>25</v>
      </c>
      <c r="B17" s="6" t="s">
        <v>3</v>
      </c>
      <c r="C17" s="6" t="s">
        <v>3</v>
      </c>
      <c r="D17" s="6" t="s">
        <v>3</v>
      </c>
      <c r="E17" s="7">
        <v>0.09</v>
      </c>
      <c r="J17">
        <f t="shared" ref="J17:J22" si="0">IF(B17="בוצע",E17,0)</f>
        <v>0.09</v>
      </c>
      <c r="K17">
        <f t="shared" ref="K17:K22" si="1">IF(C17="בוצע",E17,0)</f>
        <v>0.09</v>
      </c>
      <c r="L17">
        <f t="shared" ref="L17:L22" si="2">IF(D17="בוצע",E17,0)</f>
        <v>0.09</v>
      </c>
    </row>
    <row r="18" spans="1:15" ht="15.75">
      <c r="A18" s="62" t="s">
        <v>34</v>
      </c>
      <c r="B18" s="6" t="s">
        <v>3</v>
      </c>
      <c r="C18" s="6" t="s">
        <v>3</v>
      </c>
      <c r="D18" s="6" t="s">
        <v>3</v>
      </c>
      <c r="E18" s="7">
        <v>0.08</v>
      </c>
      <c r="J18">
        <f t="shared" si="0"/>
        <v>0.08</v>
      </c>
      <c r="K18">
        <f t="shared" si="1"/>
        <v>0.08</v>
      </c>
      <c r="L18">
        <f t="shared" si="2"/>
        <v>0.08</v>
      </c>
    </row>
    <row r="19" spans="1:15" ht="15.75">
      <c r="A19" s="59" t="s">
        <v>12</v>
      </c>
      <c r="B19" s="6" t="s">
        <v>3</v>
      </c>
      <c r="C19" s="6" t="s">
        <v>3</v>
      </c>
      <c r="D19" s="6" t="s">
        <v>3</v>
      </c>
      <c r="E19" s="2">
        <v>0.08</v>
      </c>
      <c r="J19">
        <f t="shared" si="0"/>
        <v>0.08</v>
      </c>
      <c r="K19">
        <f t="shared" si="1"/>
        <v>0.08</v>
      </c>
      <c r="L19">
        <f t="shared" si="2"/>
        <v>0.08</v>
      </c>
    </row>
    <row r="20" spans="1:15" ht="15.75">
      <c r="A20" s="31" t="s">
        <v>33</v>
      </c>
      <c r="B20" s="6" t="s">
        <v>3</v>
      </c>
      <c r="C20" s="6" t="s">
        <v>3</v>
      </c>
      <c r="D20" s="6" t="s">
        <v>3</v>
      </c>
      <c r="E20" s="7">
        <v>0.09</v>
      </c>
      <c r="J20">
        <f t="shared" si="0"/>
        <v>0.09</v>
      </c>
      <c r="K20">
        <f t="shared" si="1"/>
        <v>0.09</v>
      </c>
      <c r="L20">
        <f t="shared" si="2"/>
        <v>0.09</v>
      </c>
    </row>
    <row r="21" spans="1:15" ht="15.75">
      <c r="A21" s="31" t="s">
        <v>20</v>
      </c>
      <c r="B21" s="6" t="s">
        <v>3</v>
      </c>
      <c r="C21" s="6" t="s">
        <v>3</v>
      </c>
      <c r="D21" s="6" t="s">
        <v>3</v>
      </c>
      <c r="E21" s="2">
        <v>0.1</v>
      </c>
      <c r="J21">
        <f t="shared" si="0"/>
        <v>0.1</v>
      </c>
      <c r="K21">
        <f t="shared" si="1"/>
        <v>0.1</v>
      </c>
      <c r="L21">
        <f t="shared" si="2"/>
        <v>0.1</v>
      </c>
    </row>
    <row r="22" spans="1:15" ht="85.5" customHeight="1">
      <c r="A22" s="31" t="s">
        <v>36</v>
      </c>
      <c r="B22" s="6" t="s">
        <v>3</v>
      </c>
      <c r="C22" s="6" t="s">
        <v>3</v>
      </c>
      <c r="D22" s="6" t="s">
        <v>3</v>
      </c>
      <c r="E22" s="68">
        <v>0.1</v>
      </c>
      <c r="J22">
        <f t="shared" si="0"/>
        <v>0.1</v>
      </c>
      <c r="K22">
        <f t="shared" si="1"/>
        <v>0.1</v>
      </c>
      <c r="L22">
        <f t="shared" si="2"/>
        <v>0.1</v>
      </c>
    </row>
    <row r="23" spans="1:15" ht="15.75">
      <c r="A23" s="209" t="s">
        <v>13</v>
      </c>
      <c r="B23" s="210"/>
      <c r="C23" s="210"/>
      <c r="D23" s="211"/>
      <c r="E23" s="19"/>
      <c r="J23">
        <f>SUM(J11:J15,J17:J22)*100</f>
        <v>99.999999999999986</v>
      </c>
      <c r="K23">
        <f>SUM(K11:K15,K17:K22)*100</f>
        <v>99.999999999999986</v>
      </c>
      <c r="L23">
        <f>SUM(L11:L15,L17:L22)*100</f>
        <v>99.999999999999986</v>
      </c>
    </row>
    <row r="24" spans="1:15" ht="15.75">
      <c r="A24" s="63" t="s">
        <v>132</v>
      </c>
      <c r="B24" s="6"/>
      <c r="C24" s="6"/>
      <c r="D24" s="6"/>
      <c r="E24" s="2"/>
    </row>
    <row r="25" spans="1:15" ht="15.75">
      <c r="A25" s="64" t="s">
        <v>153</v>
      </c>
      <c r="B25" s="6"/>
      <c r="C25" s="6"/>
      <c r="D25" s="6"/>
      <c r="E25" s="7"/>
    </row>
    <row r="26" spans="1:15" ht="15.75">
      <c r="A26" s="65" t="s">
        <v>157</v>
      </c>
      <c r="B26" s="6"/>
      <c r="C26" s="6"/>
      <c r="D26" s="6"/>
      <c r="E26" s="7"/>
    </row>
    <row r="27" spans="1:15" ht="15.75">
      <c r="A27" s="212" t="s">
        <v>14</v>
      </c>
      <c r="B27" s="213"/>
      <c r="C27" s="213"/>
      <c r="D27" s="214"/>
      <c r="E27" s="9"/>
      <c r="G27" s="15"/>
      <c r="H27" s="15"/>
      <c r="I27" s="15"/>
      <c r="J27" s="15"/>
      <c r="K27" s="15"/>
      <c r="L27" s="15"/>
      <c r="M27" s="18"/>
      <c r="N27" s="18"/>
      <c r="O27" s="18"/>
    </row>
    <row r="28" spans="1:15" ht="15.75">
      <c r="A28" s="228" t="s">
        <v>138</v>
      </c>
      <c r="B28" s="229"/>
      <c r="C28" s="229"/>
      <c r="D28" s="230"/>
      <c r="E28" s="2"/>
      <c r="G28" s="15"/>
      <c r="H28" s="15"/>
      <c r="I28" s="15"/>
      <c r="J28" s="15"/>
      <c r="K28" s="15"/>
      <c r="L28" s="15"/>
      <c r="M28" s="18"/>
      <c r="N28" s="18"/>
      <c r="O28" s="18"/>
    </row>
    <row r="29" spans="1:15" ht="15.75">
      <c r="A29" s="218"/>
      <c r="B29" s="219"/>
      <c r="C29" s="219"/>
      <c r="D29" s="220"/>
      <c r="E29" s="10"/>
      <c r="G29" s="15"/>
      <c r="H29" s="15"/>
      <c r="I29" s="15"/>
      <c r="J29" s="15"/>
      <c r="K29" s="15"/>
      <c r="L29" s="15"/>
      <c r="M29" s="18"/>
      <c r="N29" s="18"/>
      <c r="O29" s="18"/>
    </row>
    <row r="30" spans="1:15" ht="15.75">
      <c r="A30" s="221" t="s">
        <v>15</v>
      </c>
      <c r="B30" s="222"/>
      <c r="C30" s="222"/>
      <c r="D30" s="223"/>
      <c r="E30" s="10"/>
      <c r="G30" s="15"/>
      <c r="H30" s="15"/>
      <c r="I30" s="15"/>
      <c r="J30" s="15"/>
      <c r="K30" s="15"/>
      <c r="L30" s="15"/>
      <c r="M30" s="18"/>
      <c r="N30" s="18"/>
      <c r="O30" s="18"/>
    </row>
    <row r="31" spans="1:15" ht="15.75">
      <c r="A31" s="228" t="s">
        <v>154</v>
      </c>
      <c r="B31" s="229"/>
      <c r="C31" s="229"/>
      <c r="D31" s="230"/>
      <c r="E31" s="10"/>
      <c r="I31" s="18"/>
      <c r="J31" s="18"/>
      <c r="K31" s="18"/>
      <c r="L31" s="18"/>
      <c r="M31" s="18"/>
      <c r="N31" s="18"/>
      <c r="O31" s="18"/>
    </row>
    <row r="32" spans="1:15" ht="15.75">
      <c r="A32" s="225"/>
      <c r="B32" s="226"/>
      <c r="C32" s="226"/>
      <c r="D32" s="227"/>
      <c r="E32" s="10"/>
      <c r="I32" s="18"/>
      <c r="J32" s="18"/>
      <c r="K32" s="18"/>
      <c r="L32" s="18"/>
      <c r="M32" s="18"/>
      <c r="N32" s="18"/>
      <c r="O32" s="18"/>
    </row>
    <row r="33" spans="1:5" ht="15.75">
      <c r="A33" s="221" t="s">
        <v>16</v>
      </c>
      <c r="B33" s="222"/>
      <c r="C33" s="222"/>
      <c r="D33" s="223"/>
      <c r="E33" s="10"/>
    </row>
    <row r="34" spans="1:5" ht="15.75">
      <c r="A34" s="228" t="s">
        <v>158</v>
      </c>
      <c r="B34" s="229"/>
      <c r="C34" s="229"/>
      <c r="D34" s="230"/>
      <c r="E34" s="10"/>
    </row>
    <row r="35" spans="1:5" ht="15" customHeight="1">
      <c r="A35" s="292"/>
      <c r="B35" s="292"/>
      <c r="C35" s="292"/>
      <c r="D35" s="292"/>
      <c r="E35" s="10"/>
    </row>
    <row r="36" spans="1:5" ht="28.15" customHeight="1">
      <c r="A36" s="291"/>
      <c r="B36" s="291"/>
      <c r="C36" s="291"/>
      <c r="D36" s="291"/>
      <c r="E36" s="23"/>
    </row>
  </sheetData>
  <mergeCells count="18">
    <mergeCell ref="A10:D10"/>
    <mergeCell ref="A2:A3"/>
    <mergeCell ref="B2:B3"/>
    <mergeCell ref="D2:E2"/>
    <mergeCell ref="D3:E3"/>
    <mergeCell ref="A4:D4"/>
    <mergeCell ref="A36:D36"/>
    <mergeCell ref="A16:D16"/>
    <mergeCell ref="A23:D23"/>
    <mergeCell ref="A27:D27"/>
    <mergeCell ref="A28:D28"/>
    <mergeCell ref="A29:D29"/>
    <mergeCell ref="A30:D30"/>
    <mergeCell ref="A31:D31"/>
    <mergeCell ref="A32:D32"/>
    <mergeCell ref="A33:D33"/>
    <mergeCell ref="A34:D34"/>
    <mergeCell ref="A35:D35"/>
  </mergeCells>
  <conditionalFormatting sqref="B2">
    <cfRule type="cellIs" dxfId="17" priority="1" stopIfTrue="1" operator="greaterThanOrEqual">
      <formula>85</formula>
    </cfRule>
    <cfRule type="cellIs" dxfId="16" priority="2" stopIfTrue="1" operator="lessThan">
      <formula>85</formula>
    </cfRule>
  </conditionalFormatting>
  <conditionalFormatting sqref="B11:D15 B17:D22 B24:D26">
    <cfRule type="cellIs" dxfId="15" priority="3" stopIfTrue="1" operator="equal">
      <formula>"לא בוצע"</formula>
    </cfRule>
    <cfRule type="cellIs" dxfId="14" priority="4" stopIfTrue="1" operator="equal">
      <formula>"בוצע"</formula>
    </cfRule>
    <cfRule type="cellIs" dxfId="13" priority="5" stopIfTrue="1" operator="equal">
      <formula>"לא רלוונטי"</formula>
    </cfRule>
  </conditionalFormatting>
  <dataValidations count="3">
    <dataValidation type="list" allowBlank="1" showInputMessage="1" showErrorMessage="1" sqref="B17:D22 C11:D15" xr:uid="{00000000-0002-0000-1200-000000000000}">
      <formula1>$G$1:$G$6</formula1>
    </dataValidation>
    <dataValidation type="list" allowBlank="1" showInputMessage="1" showErrorMessage="1" sqref="B24:D26" xr:uid="{00000000-0002-0000-1200-000001000000}">
      <formula1>$G$4:$G$6</formula1>
    </dataValidation>
    <dataValidation type="list" allowBlank="1" showInputMessage="1" showErrorMessage="1" sqref="B11:B15" xr:uid="{00000000-0002-0000-1200-000002000000}">
      <formula1>$G$1:$G$9</formula1>
    </dataValidation>
  </dataValidations>
  <pageMargins left="0.7" right="0.7" top="0.75" bottom="0.75" header="0.3" footer="0.3"/>
  <pageSetup paperSize="9" scale="6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38"/>
  <sheetViews>
    <sheetView rightToLeft="1" topLeftCell="A4" workbookViewId="0">
      <selection activeCell="A21" sqref="A21"/>
    </sheetView>
  </sheetViews>
  <sheetFormatPr defaultRowHeight="14.25"/>
  <cols>
    <col min="1" max="1" width="81.125" customWidth="1"/>
    <col min="2" max="2" width="19.625" customWidth="1"/>
    <col min="3" max="3" width="16.375" customWidth="1"/>
    <col min="4" max="4" width="21.375" customWidth="1"/>
    <col min="6" max="8" width="9" customWidth="1"/>
    <col min="9" max="9" width="11.375" customWidth="1"/>
    <col min="10" max="13" width="9" customWidth="1"/>
  </cols>
  <sheetData>
    <row r="1" spans="1:12">
      <c r="G1" t="s">
        <v>3</v>
      </c>
    </row>
    <row r="2" spans="1:12" ht="15.75">
      <c r="A2" s="273" t="s">
        <v>0</v>
      </c>
      <c r="B2" s="275"/>
      <c r="C2" s="19" t="s">
        <v>1</v>
      </c>
      <c r="D2" s="277" t="s">
        <v>2</v>
      </c>
      <c r="E2" s="278"/>
      <c r="G2" t="s">
        <v>4</v>
      </c>
    </row>
    <row r="3" spans="1:12" ht="15.75">
      <c r="A3" s="274"/>
      <c r="B3" s="276"/>
      <c r="C3" s="11" t="s">
        <v>29</v>
      </c>
      <c r="D3" s="279"/>
      <c r="E3" s="280"/>
      <c r="G3" t="s">
        <v>7</v>
      </c>
    </row>
    <row r="4" spans="1:12" ht="15.75">
      <c r="A4" s="277" t="s">
        <v>5</v>
      </c>
      <c r="B4" s="281"/>
      <c r="C4" s="281"/>
      <c r="D4" s="278"/>
      <c r="E4" s="20" t="s">
        <v>6</v>
      </c>
    </row>
    <row r="5" spans="1:12" ht="15.75">
      <c r="A5" s="29" t="s">
        <v>8</v>
      </c>
      <c r="B5" s="26"/>
      <c r="C5" s="27"/>
      <c r="D5" s="27"/>
      <c r="E5" s="1"/>
    </row>
    <row r="6" spans="1:12" ht="15.75">
      <c r="A6" s="29" t="s">
        <v>9</v>
      </c>
      <c r="B6" s="167"/>
      <c r="C6" s="166"/>
      <c r="D6" s="167"/>
      <c r="E6" s="1"/>
    </row>
    <row r="7" spans="1:12" ht="15.75">
      <c r="A7" s="29" t="s">
        <v>10</v>
      </c>
      <c r="B7" s="26">
        <v>1</v>
      </c>
      <c r="C7" s="27">
        <v>2</v>
      </c>
      <c r="D7" s="27">
        <v>3</v>
      </c>
      <c r="E7" s="3">
        <f>SUM(E10:E25)</f>
        <v>0.99999999999999989</v>
      </c>
    </row>
    <row r="8" spans="1:12" ht="15.75">
      <c r="A8" s="29" t="s">
        <v>11</v>
      </c>
      <c r="B8" s="16">
        <f>J23</f>
        <v>99.999999999999986</v>
      </c>
      <c r="C8" s="16">
        <f>K23</f>
        <v>83.999999999999986</v>
      </c>
      <c r="D8" s="16">
        <f>L23</f>
        <v>67</v>
      </c>
      <c r="E8" s="5"/>
    </row>
    <row r="9" spans="1:12" ht="15.75">
      <c r="A9" s="29" t="s">
        <v>26</v>
      </c>
      <c r="B9" s="4" t="s">
        <v>30</v>
      </c>
      <c r="C9" s="4" t="s">
        <v>30</v>
      </c>
      <c r="D9" s="4" t="s">
        <v>30</v>
      </c>
      <c r="E9" s="5"/>
    </row>
    <row r="10" spans="1:12" ht="15.75">
      <c r="A10" s="282" t="s">
        <v>17</v>
      </c>
      <c r="B10" s="283"/>
      <c r="C10" s="283"/>
      <c r="D10" s="284"/>
      <c r="E10" s="19"/>
      <c r="J10" t="s">
        <v>21</v>
      </c>
      <c r="K10" t="s">
        <v>22</v>
      </c>
      <c r="L10" t="s">
        <v>23</v>
      </c>
    </row>
    <row r="11" spans="1:12" ht="15.75">
      <c r="A11" s="13" t="s">
        <v>32</v>
      </c>
      <c r="B11" s="6" t="s">
        <v>3</v>
      </c>
      <c r="C11" s="6" t="s">
        <v>3</v>
      </c>
      <c r="D11" s="6" t="s">
        <v>3</v>
      </c>
      <c r="E11" s="8">
        <v>0.1</v>
      </c>
      <c r="J11">
        <f>IF(B11="בוצע",E11,0)</f>
        <v>0.1</v>
      </c>
      <c r="K11">
        <f>IF(C11="בוצע",E11,0)</f>
        <v>0.1</v>
      </c>
      <c r="L11">
        <f>IF(D11="בוצע",E11,0)</f>
        <v>0.1</v>
      </c>
    </row>
    <row r="12" spans="1:12" ht="15.75">
      <c r="A12" s="13" t="s">
        <v>18</v>
      </c>
      <c r="B12" s="6" t="s">
        <v>3</v>
      </c>
      <c r="C12" s="6" t="s">
        <v>3</v>
      </c>
      <c r="D12" s="6" t="s">
        <v>3</v>
      </c>
      <c r="E12" s="7">
        <v>0.1</v>
      </c>
      <c r="J12">
        <f>IF(B12="בוצע",E12,0)</f>
        <v>0.1</v>
      </c>
      <c r="K12">
        <f>IF(C12="בוצע",E12,0)</f>
        <v>0.1</v>
      </c>
      <c r="L12">
        <f>IF(D12="בוצע",E12,0)</f>
        <v>0.1</v>
      </c>
    </row>
    <row r="13" spans="1:12" ht="15.75">
      <c r="A13" s="34" t="s">
        <v>35</v>
      </c>
      <c r="B13" s="6" t="s">
        <v>3</v>
      </c>
      <c r="C13" s="6" t="s">
        <v>4</v>
      </c>
      <c r="D13" s="6" t="s">
        <v>4</v>
      </c>
      <c r="E13" s="8">
        <v>0.08</v>
      </c>
      <c r="J13">
        <f>IF(B13="בוצע",E13,0)</f>
        <v>0.08</v>
      </c>
      <c r="K13">
        <f>IF(C13="בוצע",E13,0)</f>
        <v>0</v>
      </c>
      <c r="L13">
        <f>IF(D13="בוצע",E13,0)</f>
        <v>0</v>
      </c>
    </row>
    <row r="14" spans="1:12" ht="15.75">
      <c r="A14" s="21" t="s">
        <v>24</v>
      </c>
      <c r="B14" s="6" t="s">
        <v>3</v>
      </c>
      <c r="C14" s="6" t="s">
        <v>3</v>
      </c>
      <c r="D14" s="6" t="s">
        <v>3</v>
      </c>
      <c r="E14" s="7">
        <v>0.08</v>
      </c>
      <c r="J14">
        <f>IF(B14="בוצע",E14,0)</f>
        <v>0.08</v>
      </c>
      <c r="K14">
        <f>IF(C14="בוצע",E14,0)</f>
        <v>0.08</v>
      </c>
      <c r="L14">
        <f>IF(D14="בוצע",E14,0)</f>
        <v>0.08</v>
      </c>
    </row>
    <row r="15" spans="1:12" ht="15.75">
      <c r="A15" s="13" t="s">
        <v>37</v>
      </c>
      <c r="B15" s="6" t="s">
        <v>3</v>
      </c>
      <c r="C15" s="6" t="s">
        <v>3</v>
      </c>
      <c r="D15" s="6" t="s">
        <v>3</v>
      </c>
      <c r="E15" s="8">
        <v>0.1</v>
      </c>
      <c r="J15">
        <f>IF(B15="בוצע",E15,0)</f>
        <v>0.1</v>
      </c>
      <c r="K15">
        <f>IF(C15="בוצע",E15,0)</f>
        <v>0.1</v>
      </c>
      <c r="L15">
        <f>IF(D15="בוצע",E15,0)</f>
        <v>0.1</v>
      </c>
    </row>
    <row r="16" spans="1:12" ht="15.75">
      <c r="A16" s="209" t="s">
        <v>19</v>
      </c>
      <c r="B16" s="210"/>
      <c r="C16" s="210"/>
      <c r="D16" s="211"/>
      <c r="E16" s="9"/>
    </row>
    <row r="17" spans="1:15" ht="15.75">
      <c r="A17" s="22" t="s">
        <v>25</v>
      </c>
      <c r="B17" s="6" t="s">
        <v>3</v>
      </c>
      <c r="C17" s="6" t="s">
        <v>3</v>
      </c>
      <c r="D17" s="6" t="s">
        <v>4</v>
      </c>
      <c r="E17" s="7">
        <v>0.09</v>
      </c>
      <c r="J17">
        <f t="shared" ref="J17:J22" si="0">IF(B17="בוצע",E17,0)</f>
        <v>0.09</v>
      </c>
      <c r="K17">
        <f t="shared" ref="K17:K22" si="1">IF(C17="בוצע",E17,0)</f>
        <v>0.09</v>
      </c>
      <c r="L17">
        <f t="shared" ref="L17:L22" si="2">IF(D17="בוצע",E17,0)</f>
        <v>0</v>
      </c>
    </row>
    <row r="18" spans="1:15" ht="15.75">
      <c r="A18" s="22" t="s">
        <v>34</v>
      </c>
      <c r="B18" s="6" t="s">
        <v>3</v>
      </c>
      <c r="C18" s="6" t="s">
        <v>4</v>
      </c>
      <c r="D18" s="6" t="s">
        <v>4</v>
      </c>
      <c r="E18" s="7">
        <v>0.08</v>
      </c>
      <c r="J18">
        <f t="shared" si="0"/>
        <v>0.08</v>
      </c>
      <c r="K18">
        <f t="shared" si="1"/>
        <v>0</v>
      </c>
      <c r="L18">
        <f t="shared" si="2"/>
        <v>0</v>
      </c>
    </row>
    <row r="19" spans="1:15" ht="15.75">
      <c r="A19" s="13" t="s">
        <v>12</v>
      </c>
      <c r="B19" s="6" t="s">
        <v>3</v>
      </c>
      <c r="C19" s="6" t="s">
        <v>3</v>
      </c>
      <c r="D19" s="6" t="s">
        <v>4</v>
      </c>
      <c r="E19" s="2">
        <v>0.08</v>
      </c>
      <c r="J19">
        <f t="shared" si="0"/>
        <v>0.08</v>
      </c>
      <c r="K19">
        <f t="shared" si="1"/>
        <v>0.08</v>
      </c>
      <c r="L19">
        <f t="shared" si="2"/>
        <v>0</v>
      </c>
    </row>
    <row r="20" spans="1:15" ht="15.75">
      <c r="A20" s="14" t="s">
        <v>33</v>
      </c>
      <c r="B20" s="6" t="s">
        <v>3</v>
      </c>
      <c r="C20" s="6" t="s">
        <v>3</v>
      </c>
      <c r="D20" s="6" t="s">
        <v>3</v>
      </c>
      <c r="E20" s="7">
        <v>0.09</v>
      </c>
      <c r="J20">
        <f t="shared" si="0"/>
        <v>0.09</v>
      </c>
      <c r="K20">
        <f t="shared" si="1"/>
        <v>0.09</v>
      </c>
      <c r="L20">
        <f t="shared" si="2"/>
        <v>0.09</v>
      </c>
    </row>
    <row r="21" spans="1:15" ht="15.75">
      <c r="A21" s="14" t="s">
        <v>20</v>
      </c>
      <c r="B21" s="6" t="s">
        <v>3</v>
      </c>
      <c r="C21" s="6" t="s">
        <v>3</v>
      </c>
      <c r="D21" s="6" t="s">
        <v>3</v>
      </c>
      <c r="E21" s="2">
        <v>0.1</v>
      </c>
      <c r="J21">
        <f t="shared" si="0"/>
        <v>0.1</v>
      </c>
      <c r="K21">
        <f t="shared" si="1"/>
        <v>0.1</v>
      </c>
      <c r="L21">
        <f t="shared" si="2"/>
        <v>0.1</v>
      </c>
    </row>
    <row r="22" spans="1:15" ht="72">
      <c r="A22" s="31" t="s">
        <v>36</v>
      </c>
      <c r="B22" s="6" t="s">
        <v>3</v>
      </c>
      <c r="C22" s="6" t="s">
        <v>3</v>
      </c>
      <c r="D22" s="6" t="s">
        <v>3</v>
      </c>
      <c r="E22" s="7">
        <v>0.1</v>
      </c>
      <c r="J22">
        <f t="shared" si="0"/>
        <v>0.1</v>
      </c>
      <c r="K22">
        <f t="shared" si="1"/>
        <v>0.1</v>
      </c>
      <c r="L22">
        <f t="shared" si="2"/>
        <v>0.1</v>
      </c>
    </row>
    <row r="23" spans="1:15" ht="15.75">
      <c r="A23" s="209" t="s">
        <v>13</v>
      </c>
      <c r="B23" s="210"/>
      <c r="C23" s="210"/>
      <c r="D23" s="211"/>
      <c r="E23" s="19"/>
      <c r="J23">
        <f>SUM(J11:J15,J17:J22)*100</f>
        <v>99.999999999999986</v>
      </c>
      <c r="K23">
        <f>SUM(K11:K15,K17:K22)*100</f>
        <v>83.999999999999986</v>
      </c>
      <c r="L23">
        <f>SUM(L11:L15,L17:L22)*100</f>
        <v>67</v>
      </c>
    </row>
    <row r="24" spans="1:15" ht="15.75">
      <c r="A24" s="14" t="s">
        <v>159</v>
      </c>
      <c r="B24" s="6"/>
      <c r="C24" s="6"/>
      <c r="D24" s="6"/>
      <c r="E24" s="2"/>
    </row>
    <row r="25" spans="1:15" ht="15.75">
      <c r="A25" s="14" t="s">
        <v>160</v>
      </c>
      <c r="B25" s="6"/>
      <c r="C25" s="6"/>
      <c r="D25" s="6"/>
      <c r="E25" s="7"/>
    </row>
    <row r="26" spans="1:15" ht="15.75">
      <c r="A26" s="28" t="s">
        <v>162</v>
      </c>
      <c r="B26" s="6"/>
      <c r="C26" s="6"/>
      <c r="D26" s="6"/>
      <c r="E26" s="7"/>
    </row>
    <row r="27" spans="1:15" ht="15.75">
      <c r="A27" s="212" t="s">
        <v>14</v>
      </c>
      <c r="B27" s="213"/>
      <c r="C27" s="213"/>
      <c r="D27" s="214"/>
      <c r="E27" s="9"/>
      <c r="G27" s="15"/>
      <c r="H27" s="15"/>
      <c r="I27" s="15"/>
      <c r="J27" s="15"/>
      <c r="K27" s="15"/>
      <c r="L27" s="15"/>
      <c r="M27" s="18"/>
      <c r="N27" s="18"/>
      <c r="O27" s="18"/>
    </row>
    <row r="28" spans="1:15" ht="15.75">
      <c r="A28" s="215"/>
      <c r="B28" s="216"/>
      <c r="C28" s="216"/>
      <c r="D28" s="217"/>
      <c r="E28" s="2"/>
      <c r="G28" s="15"/>
      <c r="H28" s="15"/>
      <c r="I28" s="15"/>
      <c r="J28" s="15"/>
      <c r="K28" s="15"/>
      <c r="L28" s="15"/>
      <c r="M28" s="18"/>
      <c r="N28" s="18"/>
      <c r="O28" s="18"/>
    </row>
    <row r="29" spans="1:15" ht="15.75">
      <c r="A29" s="215"/>
      <c r="B29" s="216"/>
      <c r="C29" s="216"/>
      <c r="D29" s="217"/>
      <c r="E29" s="2"/>
      <c r="G29" s="15"/>
      <c r="H29" s="15"/>
      <c r="I29" s="15"/>
      <c r="J29" s="15"/>
      <c r="K29" s="15"/>
      <c r="L29" s="15"/>
      <c r="M29" s="18"/>
      <c r="N29" s="18"/>
      <c r="O29" s="18"/>
    </row>
    <row r="30" spans="1:15" ht="15.75">
      <c r="A30" s="215"/>
      <c r="B30" s="216"/>
      <c r="C30" s="216"/>
      <c r="D30" s="217"/>
      <c r="E30" s="10"/>
      <c r="G30" s="15"/>
      <c r="H30" s="15"/>
      <c r="I30" s="15"/>
      <c r="J30" s="15"/>
      <c r="K30" s="15"/>
      <c r="L30" s="15"/>
      <c r="M30" s="18"/>
      <c r="N30" s="18"/>
      <c r="O30" s="18"/>
    </row>
    <row r="31" spans="1:15" ht="15.75">
      <c r="A31" s="221" t="s">
        <v>15</v>
      </c>
      <c r="B31" s="222"/>
      <c r="C31" s="222"/>
      <c r="D31" s="223"/>
      <c r="E31" s="10"/>
      <c r="G31" s="15"/>
      <c r="H31" s="15"/>
      <c r="I31" s="15"/>
      <c r="J31" s="15"/>
      <c r="K31" s="15"/>
      <c r="L31" s="15"/>
      <c r="M31" s="18"/>
      <c r="N31" s="18"/>
      <c r="O31" s="18"/>
    </row>
    <row r="32" spans="1:15" ht="15.75">
      <c r="A32" s="225"/>
      <c r="B32" s="226"/>
      <c r="C32" s="226"/>
      <c r="D32" s="227"/>
      <c r="E32" s="10"/>
      <c r="I32" s="18"/>
      <c r="J32" s="18"/>
      <c r="K32" s="18"/>
      <c r="L32" s="18"/>
      <c r="M32" s="18"/>
      <c r="N32" s="18"/>
      <c r="O32" s="18"/>
    </row>
    <row r="33" spans="1:15" ht="15.75">
      <c r="A33" s="163"/>
      <c r="B33" s="164"/>
      <c r="C33" s="164"/>
      <c r="D33" s="165"/>
      <c r="E33" s="10"/>
      <c r="I33" s="18"/>
      <c r="J33" s="18"/>
      <c r="K33" s="18"/>
      <c r="L33" s="18"/>
      <c r="M33" s="18"/>
      <c r="N33" s="18"/>
      <c r="O33" s="18"/>
    </row>
    <row r="34" spans="1:15" ht="15.75">
      <c r="A34" s="225"/>
      <c r="B34" s="226"/>
      <c r="C34" s="226"/>
      <c r="D34" s="227"/>
      <c r="E34" s="10"/>
      <c r="I34" s="18"/>
      <c r="J34" s="18"/>
      <c r="K34" s="18"/>
      <c r="L34" s="18"/>
      <c r="M34" s="18"/>
      <c r="N34" s="18"/>
      <c r="O34" s="18"/>
    </row>
    <row r="35" spans="1:15" ht="15.75">
      <c r="A35" s="221" t="s">
        <v>16</v>
      </c>
      <c r="B35" s="222"/>
      <c r="C35" s="222"/>
      <c r="D35" s="223"/>
      <c r="E35" s="10"/>
    </row>
    <row r="36" spans="1:15" ht="15.75">
      <c r="A36" s="228" t="s">
        <v>161</v>
      </c>
      <c r="B36" s="229"/>
      <c r="C36" s="229"/>
      <c r="D36" s="230"/>
      <c r="E36" s="10"/>
    </row>
    <row r="37" spans="1:15" ht="15" customHeight="1">
      <c r="A37" s="292" t="s">
        <v>163</v>
      </c>
      <c r="B37" s="292"/>
      <c r="C37" s="292"/>
      <c r="D37" s="292"/>
      <c r="E37" s="10"/>
    </row>
    <row r="38" spans="1:15" ht="15.75">
      <c r="A38" s="295"/>
      <c r="B38" s="296"/>
      <c r="C38" s="296"/>
      <c r="D38" s="297"/>
      <c r="E38" s="23"/>
    </row>
  </sheetData>
  <mergeCells count="19">
    <mergeCell ref="A10:D10"/>
    <mergeCell ref="A32:D32"/>
    <mergeCell ref="A34:D34"/>
    <mergeCell ref="A35:D35"/>
    <mergeCell ref="A36:D36"/>
    <mergeCell ref="A16:D16"/>
    <mergeCell ref="A23:D23"/>
    <mergeCell ref="A27:D27"/>
    <mergeCell ref="A2:A3"/>
    <mergeCell ref="B2:B3"/>
    <mergeCell ref="D2:E2"/>
    <mergeCell ref="D3:E3"/>
    <mergeCell ref="A4:D4"/>
    <mergeCell ref="A28:D28"/>
    <mergeCell ref="A30:D30"/>
    <mergeCell ref="A29:D29"/>
    <mergeCell ref="A38:D38"/>
    <mergeCell ref="A31:D31"/>
    <mergeCell ref="A37:D37"/>
  </mergeCells>
  <conditionalFormatting sqref="B2">
    <cfRule type="cellIs" dxfId="12" priority="1" stopIfTrue="1" operator="greaterThanOrEqual">
      <formula>85</formula>
    </cfRule>
    <cfRule type="cellIs" dxfId="11" priority="2" stopIfTrue="1" operator="lessThan">
      <formula>85</formula>
    </cfRule>
  </conditionalFormatting>
  <conditionalFormatting sqref="B11:D15 B17:D22 B24:D26">
    <cfRule type="cellIs" dxfId="10" priority="3" stopIfTrue="1" operator="equal">
      <formula>"לא בוצע"</formula>
    </cfRule>
    <cfRule type="cellIs" dxfId="9" priority="4" stopIfTrue="1" operator="equal">
      <formula>"בוצע"</formula>
    </cfRule>
    <cfRule type="cellIs" dxfId="8" priority="5" stopIfTrue="1" operator="equal">
      <formula>"לא רלוונטי"</formula>
    </cfRule>
  </conditionalFormatting>
  <dataValidations count="3">
    <dataValidation type="list" allowBlank="1" showInputMessage="1" showErrorMessage="1" sqref="B11:B15" xr:uid="{00000000-0002-0000-1300-000000000000}">
      <formula1>$G$1:$G$9</formula1>
    </dataValidation>
    <dataValidation type="list" allowBlank="1" showInputMessage="1" showErrorMessage="1" sqref="B24:D26" xr:uid="{00000000-0002-0000-1300-000001000000}">
      <formula1>$G$4:$G$6</formula1>
    </dataValidation>
    <dataValidation type="list" allowBlank="1" showInputMessage="1" showErrorMessage="1" sqref="C11:D15 B17:D22" xr:uid="{00000000-0002-0000-1300-000002000000}">
      <formula1>$G$1:$G$6</formula1>
    </dataValidation>
  </dataValidations>
  <pageMargins left="0.7" right="0.7" top="0.75" bottom="0.75" header="0.3" footer="0.3"/>
  <pageSetup paperSize="9" scale="5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O36"/>
  <sheetViews>
    <sheetView rightToLeft="1" workbookViewId="0">
      <selection activeCell="A34" sqref="A34:D35"/>
    </sheetView>
  </sheetViews>
  <sheetFormatPr defaultRowHeight="14.25"/>
  <cols>
    <col min="1" max="1" width="59.125" customWidth="1"/>
    <col min="2" max="2" width="19.625" customWidth="1"/>
    <col min="3" max="3" width="16.375" customWidth="1"/>
    <col min="4" max="4" width="23.375" customWidth="1"/>
    <col min="6" max="13" width="9" customWidth="1"/>
  </cols>
  <sheetData>
    <row r="1" spans="1:12">
      <c r="G1" t="s">
        <v>3</v>
      </c>
    </row>
    <row r="2" spans="1:12" ht="15.75">
      <c r="A2" s="273" t="s">
        <v>0</v>
      </c>
      <c r="B2" s="275">
        <f>AVERAGE(B8:D8)</f>
        <v>100</v>
      </c>
      <c r="C2" s="19" t="s">
        <v>1</v>
      </c>
      <c r="D2" s="277" t="s">
        <v>2</v>
      </c>
      <c r="E2" s="278"/>
      <c r="G2" t="s">
        <v>4</v>
      </c>
    </row>
    <row r="3" spans="1:12" ht="15.75">
      <c r="A3" s="274"/>
      <c r="B3" s="276"/>
      <c r="C3" s="11" t="s">
        <v>38</v>
      </c>
      <c r="D3" s="279" t="s">
        <v>82</v>
      </c>
      <c r="E3" s="280"/>
      <c r="G3" t="s">
        <v>7</v>
      </c>
    </row>
    <row r="4" spans="1:12" ht="15.75">
      <c r="A4" s="277" t="s">
        <v>5</v>
      </c>
      <c r="B4" s="281"/>
      <c r="C4" s="281"/>
      <c r="D4" s="278"/>
      <c r="E4" s="20" t="s">
        <v>6</v>
      </c>
    </row>
    <row r="5" spans="1:12" ht="15.75">
      <c r="A5" s="12" t="s">
        <v>8</v>
      </c>
      <c r="B5" s="26"/>
      <c r="C5" s="26"/>
      <c r="D5" s="26"/>
      <c r="E5" s="1"/>
    </row>
    <row r="6" spans="1:12" ht="15.75">
      <c r="A6" s="12" t="s">
        <v>9</v>
      </c>
      <c r="B6" s="162"/>
      <c r="C6" s="162"/>
      <c r="D6" s="77"/>
      <c r="E6" s="1"/>
    </row>
    <row r="7" spans="1:12" ht="15.75">
      <c r="A7" s="12" t="s">
        <v>10</v>
      </c>
      <c r="B7" s="16">
        <v>1</v>
      </c>
      <c r="C7" s="17">
        <v>2</v>
      </c>
      <c r="D7" s="17">
        <v>3</v>
      </c>
      <c r="E7" s="3">
        <f>SUM(E10:E25)</f>
        <v>0.99999999999999989</v>
      </c>
    </row>
    <row r="8" spans="1:12" ht="15.75">
      <c r="A8" s="12" t="s">
        <v>11</v>
      </c>
      <c r="B8" s="16">
        <f>J23</f>
        <v>99.999999999999986</v>
      </c>
      <c r="C8" s="16">
        <f>K23</f>
        <v>99.999999999999986</v>
      </c>
      <c r="D8" s="16">
        <v>100</v>
      </c>
      <c r="E8" s="5"/>
    </row>
    <row r="9" spans="1:12" ht="15.75">
      <c r="A9" s="12" t="s">
        <v>26</v>
      </c>
      <c r="B9" s="4" t="s">
        <v>28</v>
      </c>
      <c r="C9" s="4" t="s">
        <v>28</v>
      </c>
      <c r="D9" s="4" t="s">
        <v>28</v>
      </c>
      <c r="E9" s="5"/>
    </row>
    <row r="10" spans="1:12" ht="15.75">
      <c r="A10" s="282" t="s">
        <v>17</v>
      </c>
      <c r="B10" s="283"/>
      <c r="C10" s="283"/>
      <c r="D10" s="284"/>
      <c r="E10" s="19"/>
      <c r="J10" t="s">
        <v>21</v>
      </c>
      <c r="K10" t="s">
        <v>22</v>
      </c>
      <c r="L10" t="s">
        <v>23</v>
      </c>
    </row>
    <row r="11" spans="1:12" ht="15.75">
      <c r="A11" s="13" t="s">
        <v>32</v>
      </c>
      <c r="B11" s="6" t="s">
        <v>3</v>
      </c>
      <c r="C11" s="6" t="s">
        <v>3</v>
      </c>
      <c r="D11" s="6" t="s">
        <v>3</v>
      </c>
      <c r="E11" s="8">
        <v>0.1</v>
      </c>
      <c r="J11">
        <f>IF(B11="בוצע",E11,0)</f>
        <v>0.1</v>
      </c>
      <c r="K11">
        <f>IF(C11="בוצע",E11,0)</f>
        <v>0.1</v>
      </c>
      <c r="L11">
        <f>IF(D11="בוצע",E11,0)</f>
        <v>0.1</v>
      </c>
    </row>
    <row r="12" spans="1:12" ht="15.75">
      <c r="A12" s="13" t="s">
        <v>18</v>
      </c>
      <c r="B12" s="6" t="s">
        <v>3</v>
      </c>
      <c r="C12" s="6" t="s">
        <v>3</v>
      </c>
      <c r="D12" s="6" t="s">
        <v>3</v>
      </c>
      <c r="E12" s="7">
        <v>0.1</v>
      </c>
      <c r="J12">
        <f>IF(B12="בוצע",E12,0)</f>
        <v>0.1</v>
      </c>
      <c r="K12">
        <f>IF(C12="בוצע",E12,0)</f>
        <v>0.1</v>
      </c>
      <c r="L12">
        <f>IF(D12="בוצע",E12,0)</f>
        <v>0.1</v>
      </c>
    </row>
    <row r="13" spans="1:12" ht="15.75">
      <c r="A13" s="34" t="s">
        <v>35</v>
      </c>
      <c r="B13" s="6" t="s">
        <v>3</v>
      </c>
      <c r="C13" s="6" t="s">
        <v>3</v>
      </c>
      <c r="D13" s="6" t="s">
        <v>3</v>
      </c>
      <c r="E13" s="8">
        <v>0.08</v>
      </c>
      <c r="J13">
        <f>IF(B13="בוצע",E13,0)</f>
        <v>0.08</v>
      </c>
      <c r="K13">
        <f>IF(C13="בוצע",E13,0)</f>
        <v>0.08</v>
      </c>
      <c r="L13">
        <f>IF(D13="בוצע",E13,0)</f>
        <v>0.08</v>
      </c>
    </row>
    <row r="14" spans="1:12" ht="15.75">
      <c r="A14" s="21" t="s">
        <v>24</v>
      </c>
      <c r="B14" s="6" t="s">
        <v>3</v>
      </c>
      <c r="C14" s="6" t="s">
        <v>3</v>
      </c>
      <c r="D14" s="6" t="s">
        <v>3</v>
      </c>
      <c r="E14" s="7">
        <v>0.08</v>
      </c>
      <c r="J14">
        <f>IF(B14="בוצע",E14,0)</f>
        <v>0.08</v>
      </c>
      <c r="K14">
        <f>IF(C14="בוצע",E14,0)</f>
        <v>0.08</v>
      </c>
      <c r="L14">
        <f>IF(D14="בוצע",E14,0)</f>
        <v>0.08</v>
      </c>
    </row>
    <row r="15" spans="1:12" ht="15.75">
      <c r="A15" s="13" t="s">
        <v>37</v>
      </c>
      <c r="B15" s="6" t="s">
        <v>3</v>
      </c>
      <c r="C15" s="6" t="s">
        <v>3</v>
      </c>
      <c r="D15" s="6" t="s">
        <v>3</v>
      </c>
      <c r="E15" s="8">
        <v>0.1</v>
      </c>
      <c r="J15">
        <f>IF(B15="בוצע",E15,0)</f>
        <v>0.1</v>
      </c>
      <c r="K15">
        <f>IF(C15="בוצע",E15,0)</f>
        <v>0.1</v>
      </c>
      <c r="L15">
        <f>IF(D15="בוצע",E15,0)</f>
        <v>0.1</v>
      </c>
    </row>
    <row r="16" spans="1:12" ht="15.75">
      <c r="A16" s="209" t="s">
        <v>19</v>
      </c>
      <c r="B16" s="210"/>
      <c r="C16" s="210"/>
      <c r="D16" s="211"/>
      <c r="E16" s="9"/>
    </row>
    <row r="17" spans="1:15" ht="15.75">
      <c r="A17" s="22" t="s">
        <v>25</v>
      </c>
      <c r="B17" s="6" t="s">
        <v>3</v>
      </c>
      <c r="C17" s="6" t="s">
        <v>3</v>
      </c>
      <c r="D17" s="6" t="s">
        <v>3</v>
      </c>
      <c r="E17" s="7">
        <v>0.09</v>
      </c>
      <c r="J17">
        <f t="shared" ref="J17:J22" si="0">IF(B17="בוצע",E17,0)</f>
        <v>0.09</v>
      </c>
      <c r="K17">
        <f t="shared" ref="K17:K22" si="1">IF(C17="בוצע",E17,0)</f>
        <v>0.09</v>
      </c>
      <c r="L17">
        <f t="shared" ref="L17:L22" si="2">IF(D17="בוצע",E17,0)</f>
        <v>0.09</v>
      </c>
    </row>
    <row r="18" spans="1:15" ht="15.75">
      <c r="A18" s="22" t="s">
        <v>34</v>
      </c>
      <c r="B18" s="6" t="s">
        <v>3</v>
      </c>
      <c r="C18" s="6" t="s">
        <v>3</v>
      </c>
      <c r="D18" s="6" t="s">
        <v>3</v>
      </c>
      <c r="E18" s="7">
        <v>0.08</v>
      </c>
      <c r="J18">
        <f t="shared" si="0"/>
        <v>0.08</v>
      </c>
      <c r="K18">
        <f t="shared" si="1"/>
        <v>0.08</v>
      </c>
      <c r="L18">
        <f t="shared" si="2"/>
        <v>0.08</v>
      </c>
    </row>
    <row r="19" spans="1:15" ht="15.75">
      <c r="A19" s="13" t="s">
        <v>12</v>
      </c>
      <c r="B19" s="6" t="s">
        <v>3</v>
      </c>
      <c r="C19" s="6" t="s">
        <v>3</v>
      </c>
      <c r="D19" s="6" t="s">
        <v>3</v>
      </c>
      <c r="E19" s="2">
        <v>0.08</v>
      </c>
      <c r="J19">
        <f t="shared" si="0"/>
        <v>0.08</v>
      </c>
      <c r="K19">
        <f t="shared" si="1"/>
        <v>0.08</v>
      </c>
      <c r="L19">
        <f t="shared" si="2"/>
        <v>0.08</v>
      </c>
    </row>
    <row r="20" spans="1:15" ht="15.75">
      <c r="A20" s="14" t="s">
        <v>33</v>
      </c>
      <c r="B20" s="6" t="s">
        <v>3</v>
      </c>
      <c r="C20" s="6" t="s">
        <v>3</v>
      </c>
      <c r="D20" s="6" t="s">
        <v>3</v>
      </c>
      <c r="E20" s="7">
        <v>0.09</v>
      </c>
      <c r="J20">
        <f t="shared" si="0"/>
        <v>0.09</v>
      </c>
      <c r="K20">
        <f t="shared" si="1"/>
        <v>0.09</v>
      </c>
      <c r="L20">
        <f t="shared" si="2"/>
        <v>0.09</v>
      </c>
    </row>
    <row r="21" spans="1:15" ht="15.75">
      <c r="A21" s="14" t="s">
        <v>20</v>
      </c>
      <c r="B21" s="6" t="s">
        <v>3</v>
      </c>
      <c r="C21" s="6" t="s">
        <v>3</v>
      </c>
      <c r="D21" s="6" t="s">
        <v>3</v>
      </c>
      <c r="E21" s="6">
        <v>0.1</v>
      </c>
      <c r="J21">
        <f t="shared" si="0"/>
        <v>0.1</v>
      </c>
      <c r="K21">
        <f t="shared" si="1"/>
        <v>0.1</v>
      </c>
      <c r="L21">
        <f t="shared" si="2"/>
        <v>0.1</v>
      </c>
    </row>
    <row r="22" spans="1:15" ht="68.45" customHeight="1">
      <c r="A22" s="31" t="s">
        <v>39</v>
      </c>
      <c r="B22" s="6" t="s">
        <v>3</v>
      </c>
      <c r="C22" s="6" t="s">
        <v>3</v>
      </c>
      <c r="D22" s="6" t="s">
        <v>3</v>
      </c>
      <c r="E22" s="7">
        <v>0.1</v>
      </c>
      <c r="J22">
        <f t="shared" si="0"/>
        <v>0.1</v>
      </c>
      <c r="K22">
        <f t="shared" si="1"/>
        <v>0.1</v>
      </c>
      <c r="L22">
        <f t="shared" si="2"/>
        <v>0.1</v>
      </c>
    </row>
    <row r="23" spans="1:15" ht="15.75">
      <c r="A23" s="209" t="s">
        <v>13</v>
      </c>
      <c r="B23" s="210"/>
      <c r="C23" s="210"/>
      <c r="D23" s="211"/>
      <c r="E23" s="19"/>
      <c r="J23">
        <f>SUM(J11:J15,J17:J22)*100</f>
        <v>99.999999999999986</v>
      </c>
      <c r="K23">
        <f>SUM(K11:K15,K17:K22)*100</f>
        <v>99.999999999999986</v>
      </c>
      <c r="L23">
        <f>SUM(L11:L15,L17:L22)*100</f>
        <v>99.999999999999986</v>
      </c>
    </row>
    <row r="24" spans="1:15" ht="15.75">
      <c r="A24" s="59"/>
      <c r="B24" s="6"/>
      <c r="C24" s="6"/>
      <c r="D24" s="6"/>
      <c r="E24" s="2"/>
    </row>
    <row r="25" spans="1:15" ht="15.75">
      <c r="A25" s="59"/>
      <c r="B25" s="6"/>
      <c r="C25" s="6"/>
      <c r="D25" s="6"/>
      <c r="E25" s="7"/>
    </row>
    <row r="26" spans="1:15" ht="15.75">
      <c r="A26" s="59"/>
      <c r="B26" s="6"/>
      <c r="C26" s="6"/>
      <c r="D26" s="6"/>
      <c r="E26" s="7"/>
    </row>
    <row r="27" spans="1:15" ht="15.75">
      <c r="A27" s="212" t="s">
        <v>14</v>
      </c>
      <c r="B27" s="213"/>
      <c r="C27" s="213"/>
      <c r="D27" s="214"/>
      <c r="E27" s="9"/>
      <c r="G27" s="15"/>
      <c r="H27" s="15"/>
      <c r="I27" s="15"/>
      <c r="J27" s="15"/>
      <c r="K27" s="15"/>
      <c r="L27" s="15"/>
      <c r="M27" s="18"/>
      <c r="N27" s="18"/>
      <c r="O27" s="18"/>
    </row>
    <row r="28" spans="1:15" ht="15.75">
      <c r="A28" s="215"/>
      <c r="B28" s="216"/>
      <c r="C28" s="216"/>
      <c r="D28" s="217"/>
      <c r="E28" s="2"/>
      <c r="G28" s="15"/>
      <c r="H28" s="15"/>
      <c r="I28" s="15"/>
      <c r="J28" s="15"/>
      <c r="K28" s="15"/>
      <c r="L28" s="15"/>
      <c r="M28" s="18"/>
      <c r="N28" s="18"/>
      <c r="O28" s="18"/>
    </row>
    <row r="29" spans="1:15" ht="15.75">
      <c r="A29" s="218"/>
      <c r="B29" s="219"/>
      <c r="C29" s="219"/>
      <c r="D29" s="220"/>
      <c r="E29" s="10"/>
      <c r="G29" s="15"/>
      <c r="H29" s="15"/>
      <c r="I29" s="15"/>
      <c r="J29" s="15"/>
      <c r="K29" s="15"/>
      <c r="L29" s="15"/>
      <c r="M29" s="18"/>
      <c r="N29" s="18"/>
      <c r="O29" s="18"/>
    </row>
    <row r="30" spans="1:15" ht="15.75">
      <c r="A30" s="221" t="s">
        <v>15</v>
      </c>
      <c r="B30" s="222"/>
      <c r="C30" s="222"/>
      <c r="D30" s="223"/>
      <c r="E30" s="10"/>
      <c r="G30" s="15"/>
      <c r="H30" s="15"/>
      <c r="I30" s="15"/>
      <c r="J30" s="15"/>
      <c r="K30" s="15"/>
      <c r="L30" s="15"/>
      <c r="M30" s="18"/>
      <c r="N30" s="18"/>
      <c r="O30" s="18"/>
    </row>
    <row r="31" spans="1:15" ht="15.75">
      <c r="A31" s="225"/>
      <c r="B31" s="226"/>
      <c r="C31" s="226"/>
      <c r="D31" s="227"/>
      <c r="E31" s="10"/>
      <c r="I31" s="18"/>
      <c r="J31" s="18"/>
      <c r="K31" s="18"/>
      <c r="L31" s="18"/>
      <c r="M31" s="18"/>
      <c r="N31" s="18"/>
      <c r="O31" s="18"/>
    </row>
    <row r="32" spans="1:15" ht="15.75">
      <c r="A32" s="225"/>
      <c r="B32" s="226"/>
      <c r="C32" s="226"/>
      <c r="D32" s="227"/>
      <c r="E32" s="10"/>
      <c r="I32" s="18"/>
      <c r="J32" s="18"/>
      <c r="K32" s="18"/>
      <c r="L32" s="18"/>
      <c r="M32" s="18"/>
      <c r="N32" s="18"/>
      <c r="O32" s="18"/>
    </row>
    <row r="33" spans="1:5" ht="15.75">
      <c r="A33" s="221" t="s">
        <v>16</v>
      </c>
      <c r="B33" s="222"/>
      <c r="C33" s="222"/>
      <c r="D33" s="223"/>
      <c r="E33" s="10"/>
    </row>
    <row r="34" spans="1:5" ht="15.6" customHeight="1">
      <c r="A34" s="225"/>
      <c r="B34" s="226"/>
      <c r="C34" s="226"/>
      <c r="D34" s="227"/>
      <c r="E34" s="10"/>
    </row>
    <row r="35" spans="1:5" ht="15" customHeight="1">
      <c r="A35" s="225"/>
      <c r="B35" s="226"/>
      <c r="C35" s="226"/>
      <c r="D35" s="227"/>
      <c r="E35" s="10"/>
    </row>
    <row r="36" spans="1:5" ht="15.75">
      <c r="A36" s="224"/>
      <c r="B36" s="224"/>
      <c r="C36" s="224"/>
      <c r="D36" s="224"/>
      <c r="E36" s="23"/>
    </row>
  </sheetData>
  <mergeCells count="18">
    <mergeCell ref="A36:D36"/>
    <mergeCell ref="A30:D30"/>
    <mergeCell ref="A35:D35"/>
    <mergeCell ref="A23:D23"/>
    <mergeCell ref="A27:D27"/>
    <mergeCell ref="A34:D34"/>
    <mergeCell ref="A28:D28"/>
    <mergeCell ref="A29:D29"/>
    <mergeCell ref="D3:E3"/>
    <mergeCell ref="A2:A3"/>
    <mergeCell ref="B2:B3"/>
    <mergeCell ref="D2:E2"/>
    <mergeCell ref="A4:D4"/>
    <mergeCell ref="A10:D10"/>
    <mergeCell ref="A16:D16"/>
    <mergeCell ref="A31:D31"/>
    <mergeCell ref="A32:D32"/>
    <mergeCell ref="A33:D33"/>
  </mergeCells>
  <conditionalFormatting sqref="B2">
    <cfRule type="cellIs" dxfId="7" priority="4" stopIfTrue="1" operator="greaterThanOrEqual">
      <formula>85</formula>
    </cfRule>
    <cfRule type="cellIs" dxfId="6" priority="5" stopIfTrue="1" operator="lessThan">
      <formula>85</formula>
    </cfRule>
  </conditionalFormatting>
  <conditionalFormatting sqref="B11:D15 B17:D20 B22:D22 B24:D26">
    <cfRule type="cellIs" dxfId="5" priority="8" stopIfTrue="1" operator="equal">
      <formula>"לא בוצע"</formula>
    </cfRule>
    <cfRule type="cellIs" dxfId="4" priority="9" stopIfTrue="1" operator="equal">
      <formula>"בוצע"</formula>
    </cfRule>
    <cfRule type="cellIs" dxfId="3" priority="10" stopIfTrue="1" operator="equal">
      <formula>"לא רלוונטי"</formula>
    </cfRule>
  </conditionalFormatting>
  <conditionalFormatting sqref="B21:E21">
    <cfRule type="cellIs" dxfId="2" priority="1" stopIfTrue="1" operator="equal">
      <formula>"לא בוצע"</formula>
    </cfRule>
    <cfRule type="cellIs" dxfId="1" priority="2" stopIfTrue="1" operator="equal">
      <formula>"בוצע"</formula>
    </cfRule>
    <cfRule type="cellIs" dxfId="0" priority="3" stopIfTrue="1" operator="equal">
      <formula>"לא רלוונטי"</formula>
    </cfRule>
  </conditionalFormatting>
  <dataValidations count="3">
    <dataValidation type="list" allowBlank="1" showInputMessage="1" showErrorMessage="1" sqref="C11:D15 B17:D22" xr:uid="{00000000-0002-0000-1400-000000000000}">
      <formula1>$G$1:$G$6</formula1>
    </dataValidation>
    <dataValidation type="list" allowBlank="1" showInputMessage="1" showErrorMessage="1" sqref="B24:D26" xr:uid="{00000000-0002-0000-1400-000001000000}">
      <formula1>$G$4:$G$6</formula1>
    </dataValidation>
    <dataValidation type="list" allowBlank="1" showInputMessage="1" showErrorMessage="1" sqref="B11:B15" xr:uid="{00000000-0002-0000-1400-000002000000}">
      <formula1>$G$1:$G$9</formula1>
    </dataValidation>
  </dataValidations>
  <pageMargins left="0.7" right="0.7" top="0.75" bottom="0.75" header="0.3" footer="0.3"/>
  <pageSetup scale="5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V20"/>
  <sheetViews>
    <sheetView rightToLeft="1" workbookViewId="0">
      <selection activeCell="G26" sqref="G26"/>
    </sheetView>
  </sheetViews>
  <sheetFormatPr defaultRowHeight="14.25"/>
  <cols>
    <col min="1" max="1" width="21.125" customWidth="1"/>
    <col min="2" max="2" width="11.875" customWidth="1"/>
    <col min="3" max="4" width="8.625" customWidth="1"/>
    <col min="5" max="5" width="12.625" customWidth="1"/>
    <col min="6" max="6" width="8.625" customWidth="1"/>
    <col min="7" max="7" width="15.375" customWidth="1"/>
    <col min="8" max="8" width="16.375" customWidth="1"/>
    <col min="9" max="9" width="8.625" customWidth="1"/>
    <col min="10" max="10" width="13.375" customWidth="1"/>
    <col min="11" max="11" width="8.625" customWidth="1"/>
    <col min="12" max="12" width="19" customWidth="1"/>
    <col min="13" max="13" width="13.875" customWidth="1"/>
    <col min="15" max="15" width="11.375" bestFit="1" customWidth="1"/>
    <col min="16" max="16" width="17.375" bestFit="1" customWidth="1"/>
    <col min="17" max="17" width="15" bestFit="1" customWidth="1"/>
    <col min="18" max="18" width="15.125" bestFit="1" customWidth="1"/>
    <col min="19" max="19" width="9.375" bestFit="1" customWidth="1"/>
  </cols>
  <sheetData>
    <row r="1" spans="1:256" s="38" customFormat="1" ht="45">
      <c r="A1" s="35" t="s">
        <v>41</v>
      </c>
      <c r="B1" s="35" t="s">
        <v>42</v>
      </c>
      <c r="C1" s="35" t="s">
        <v>43</v>
      </c>
      <c r="D1" s="35" t="s">
        <v>44</v>
      </c>
      <c r="E1" s="35" t="s">
        <v>45</v>
      </c>
      <c r="F1" s="35" t="s">
        <v>46</v>
      </c>
      <c r="G1" s="35" t="s">
        <v>47</v>
      </c>
      <c r="H1" s="35" t="s">
        <v>48</v>
      </c>
      <c r="I1" s="36" t="s">
        <v>49</v>
      </c>
      <c r="J1" s="35" t="s">
        <v>50</v>
      </c>
      <c r="K1" s="35" t="s">
        <v>51</v>
      </c>
      <c r="L1" s="35" t="s">
        <v>52</v>
      </c>
      <c r="M1" s="35" t="s">
        <v>53</v>
      </c>
      <c r="N1" s="35" t="s">
        <v>54</v>
      </c>
      <c r="O1" s="35" t="s">
        <v>55</v>
      </c>
      <c r="P1" s="37" t="s">
        <v>56</v>
      </c>
      <c r="Q1" s="37" t="s">
        <v>57</v>
      </c>
      <c r="R1" s="37" t="s">
        <v>58</v>
      </c>
      <c r="S1" s="37" t="s">
        <v>59</v>
      </c>
    </row>
    <row r="2" spans="1:256" s="38" customFormat="1">
      <c r="A2" s="39" t="s">
        <v>60</v>
      </c>
      <c r="B2" s="48">
        <v>95</v>
      </c>
      <c r="C2" s="40">
        <v>0.92214300000000005</v>
      </c>
      <c r="D2" s="41">
        <v>10.97071129707113</v>
      </c>
      <c r="E2" s="39">
        <v>16</v>
      </c>
      <c r="F2" s="42">
        <v>0.30512731481481481</v>
      </c>
      <c r="G2" s="39">
        <v>25</v>
      </c>
      <c r="H2" s="42">
        <v>0.11230324074074073</v>
      </c>
      <c r="I2" s="39">
        <v>33</v>
      </c>
      <c r="J2" s="42">
        <v>0.11230324074074073</v>
      </c>
      <c r="K2" s="43">
        <v>5.5069560185185189</v>
      </c>
      <c r="L2" s="44">
        <f>K2-(J2+H2+F2)</f>
        <v>4.9772222222222222</v>
      </c>
      <c r="M2" s="41">
        <v>119.5</v>
      </c>
      <c r="N2" s="39">
        <v>426</v>
      </c>
      <c r="O2" s="39">
        <v>885</v>
      </c>
      <c r="P2" s="41">
        <f>O2+N2</f>
        <v>1311</v>
      </c>
      <c r="Q2" s="41"/>
      <c r="R2" s="41"/>
      <c r="S2" s="41">
        <f>P2/M2</f>
        <v>10.97071129707113</v>
      </c>
      <c r="T2" s="41"/>
      <c r="U2" s="41"/>
      <c r="V2" s="41"/>
      <c r="W2" s="41"/>
      <c r="X2" s="41"/>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39"/>
      <c r="GZ2" s="39"/>
      <c r="HA2" s="39"/>
      <c r="HB2" s="39"/>
      <c r="HC2" s="39"/>
      <c r="HD2" s="39"/>
      <c r="HE2" s="39"/>
      <c r="HF2" s="39"/>
      <c r="HG2" s="39"/>
      <c r="HH2" s="39"/>
      <c r="HI2" s="39"/>
      <c r="HJ2" s="39"/>
      <c r="HK2" s="39"/>
      <c r="HL2" s="39"/>
      <c r="HM2" s="39"/>
      <c r="HN2" s="39"/>
      <c r="HO2" s="39"/>
      <c r="HP2" s="39"/>
      <c r="HQ2" s="39"/>
      <c r="HR2" s="39"/>
      <c r="HS2" s="39"/>
      <c r="HT2" s="39"/>
      <c r="HU2" s="39"/>
      <c r="HV2" s="39"/>
      <c r="HW2" s="39"/>
      <c r="HX2" s="39"/>
      <c r="HY2" s="39"/>
      <c r="HZ2" s="39"/>
      <c r="IA2" s="39"/>
      <c r="IB2" s="39"/>
      <c r="IC2" s="39"/>
      <c r="ID2" s="39"/>
      <c r="IE2" s="39"/>
      <c r="IF2" s="39"/>
      <c r="IG2" s="39"/>
      <c r="IH2" s="39"/>
      <c r="II2" s="39"/>
      <c r="IJ2" s="39"/>
      <c r="IK2" s="39"/>
      <c r="IL2" s="39"/>
      <c r="IM2" s="39"/>
      <c r="IN2" s="39"/>
      <c r="IO2" s="39"/>
      <c r="IP2" s="39"/>
      <c r="IQ2" s="39"/>
      <c r="IR2" s="39"/>
      <c r="IS2" s="39"/>
      <c r="IT2" s="39"/>
      <c r="IU2" s="39"/>
      <c r="IV2" s="39"/>
    </row>
    <row r="3" spans="1:256">
      <c r="A3" s="45" t="s">
        <v>61</v>
      </c>
      <c r="B3" s="48">
        <v>92</v>
      </c>
      <c r="C3" s="40">
        <v>0.91142900000000004</v>
      </c>
      <c r="D3" s="41">
        <v>6.8867924528301883</v>
      </c>
      <c r="E3" s="39">
        <v>16</v>
      </c>
      <c r="F3" s="42">
        <v>0.30512731481481481</v>
      </c>
      <c r="G3" s="39">
        <v>5</v>
      </c>
      <c r="H3" s="42">
        <v>6.4340277777777774E-2</v>
      </c>
      <c r="I3" s="39">
        <v>10</v>
      </c>
      <c r="J3" s="46">
        <v>3.2141203703703707E-2</v>
      </c>
      <c r="K3" s="43">
        <v>4.8217592592592595</v>
      </c>
      <c r="L3" s="44">
        <f t="shared" ref="L3:L10" si="0">K3-(J3+H3+F3)</f>
        <v>4.4201504629629635</v>
      </c>
      <c r="M3" s="47">
        <v>106</v>
      </c>
      <c r="N3" s="39">
        <v>207</v>
      </c>
      <c r="O3" s="39">
        <v>523</v>
      </c>
      <c r="P3" s="41">
        <f t="shared" ref="P3:P10" si="1">O3+N3</f>
        <v>730</v>
      </c>
      <c r="Q3" s="46">
        <v>0.60751157407407408</v>
      </c>
      <c r="R3" s="46">
        <v>0.13085648148148149</v>
      </c>
      <c r="S3" s="41">
        <f t="shared" ref="S3:S10" si="2">P3/M3</f>
        <v>6.8867924528301883</v>
      </c>
    </row>
    <row r="4" spans="1:256">
      <c r="A4" s="45" t="s">
        <v>62</v>
      </c>
      <c r="B4" s="48">
        <v>93</v>
      </c>
      <c r="C4" s="40">
        <v>0.86411800000000005</v>
      </c>
      <c r="D4" s="41">
        <v>9.2258064516129039</v>
      </c>
      <c r="E4" s="39">
        <v>16</v>
      </c>
      <c r="F4" s="42">
        <v>0.31940972222222225</v>
      </c>
      <c r="G4" s="39">
        <v>13</v>
      </c>
      <c r="H4" s="42">
        <v>0.14326388888888889</v>
      </c>
      <c r="I4" s="39">
        <v>27</v>
      </c>
      <c r="J4" s="46">
        <v>0.14256944444444444</v>
      </c>
      <c r="K4" s="43">
        <v>5.7799537037037041</v>
      </c>
      <c r="L4" s="44">
        <f t="shared" si="0"/>
        <v>5.1747106481481486</v>
      </c>
      <c r="M4" s="47">
        <v>124</v>
      </c>
      <c r="N4" s="39">
        <v>335</v>
      </c>
      <c r="O4" s="39">
        <v>809</v>
      </c>
      <c r="P4" s="41">
        <f t="shared" si="1"/>
        <v>1144</v>
      </c>
      <c r="Q4" s="46">
        <v>0.89657407407407408</v>
      </c>
      <c r="R4" s="46">
        <v>0.31744212962962964</v>
      </c>
      <c r="S4" s="41">
        <f t="shared" si="2"/>
        <v>9.2258064516129039</v>
      </c>
    </row>
    <row r="5" spans="1:256">
      <c r="A5" s="45" t="s">
        <v>63</v>
      </c>
      <c r="B5" s="48">
        <v>100</v>
      </c>
      <c r="C5" s="40">
        <v>0.91941200000000001</v>
      </c>
      <c r="D5" s="41">
        <v>8.6699029126213585</v>
      </c>
      <c r="E5" s="39">
        <v>18</v>
      </c>
      <c r="F5" s="42">
        <v>0.34922453703703704</v>
      </c>
      <c r="G5" s="39">
        <v>75</v>
      </c>
      <c r="H5" s="42">
        <v>1.4317129629629631E-2</v>
      </c>
      <c r="I5" s="39">
        <v>6</v>
      </c>
      <c r="J5" s="46">
        <v>1.6643518518518519E-2</v>
      </c>
      <c r="K5" s="43">
        <v>4.6935185185185189</v>
      </c>
      <c r="L5" s="44">
        <f t="shared" si="0"/>
        <v>4.3133333333333335</v>
      </c>
      <c r="M5" s="47">
        <v>103</v>
      </c>
      <c r="N5" s="39">
        <v>443</v>
      </c>
      <c r="O5" s="39">
        <v>450</v>
      </c>
      <c r="P5" s="41">
        <f t="shared" si="1"/>
        <v>893</v>
      </c>
      <c r="Q5" s="46">
        <v>0.30787037037037041</v>
      </c>
      <c r="R5" s="46">
        <v>0.44871527777777781</v>
      </c>
      <c r="S5" s="41">
        <f t="shared" si="2"/>
        <v>8.6699029126213585</v>
      </c>
    </row>
    <row r="6" spans="1:256">
      <c r="A6" s="45" t="s">
        <v>64</v>
      </c>
      <c r="B6" s="48">
        <v>100</v>
      </c>
      <c r="C6" s="40">
        <v>0.80249999999999999</v>
      </c>
      <c r="D6" s="41">
        <v>8.2222222222222214</v>
      </c>
      <c r="E6" s="39">
        <v>11</v>
      </c>
      <c r="F6" s="42">
        <v>0.26403935185185184</v>
      </c>
      <c r="G6" s="39">
        <v>22</v>
      </c>
      <c r="H6" s="42">
        <v>0.11989583333333333</v>
      </c>
      <c r="I6" s="39">
        <v>55</v>
      </c>
      <c r="J6" s="46">
        <v>0.12599537037037037</v>
      </c>
      <c r="K6" s="43">
        <v>3.5274421296296299</v>
      </c>
      <c r="L6" s="44">
        <f t="shared" si="0"/>
        <v>3.0175115740740743</v>
      </c>
      <c r="M6" s="47">
        <v>72</v>
      </c>
      <c r="N6" s="39">
        <v>339</v>
      </c>
      <c r="O6" s="39">
        <v>253</v>
      </c>
      <c r="P6" s="41">
        <f t="shared" si="1"/>
        <v>592</v>
      </c>
      <c r="Q6" s="46">
        <v>0.53427083333333336</v>
      </c>
      <c r="R6" s="46">
        <v>0.35997685185185185</v>
      </c>
      <c r="S6" s="41">
        <f t="shared" si="2"/>
        <v>8.2222222222222214</v>
      </c>
    </row>
    <row r="7" spans="1:256" s="74" customFormat="1">
      <c r="A7" s="69" t="s">
        <v>65</v>
      </c>
      <c r="B7" s="76">
        <v>100</v>
      </c>
      <c r="C7" s="70">
        <v>0.97666699999999995</v>
      </c>
      <c r="D7" s="41">
        <v>6.98876404494382</v>
      </c>
      <c r="E7" s="69"/>
      <c r="F7" s="71">
        <v>6.7453703703703696E-2</v>
      </c>
      <c r="G7" s="69"/>
      <c r="H7" s="71">
        <v>0</v>
      </c>
      <c r="I7" s="41">
        <v>0</v>
      </c>
      <c r="J7" s="72">
        <v>0</v>
      </c>
      <c r="K7" s="44">
        <v>1.9189699074074074</v>
      </c>
      <c r="L7" s="44">
        <f t="shared" si="0"/>
        <v>1.8515162037037036</v>
      </c>
      <c r="M7" s="73">
        <v>44.5</v>
      </c>
      <c r="N7" s="41">
        <v>169</v>
      </c>
      <c r="O7" s="41">
        <v>142</v>
      </c>
      <c r="P7" s="41">
        <f t="shared" si="1"/>
        <v>311</v>
      </c>
      <c r="Q7" s="72">
        <v>7.0358796296296308E-2</v>
      </c>
      <c r="R7" s="72">
        <v>0.16979166666666667</v>
      </c>
      <c r="S7" s="41">
        <f t="shared" si="2"/>
        <v>6.98876404494382</v>
      </c>
    </row>
    <row r="8" spans="1:256">
      <c r="A8" s="45" t="s">
        <v>66</v>
      </c>
      <c r="B8" s="48">
        <v>97</v>
      </c>
      <c r="C8" s="40">
        <v>0.91736799999999996</v>
      </c>
      <c r="D8" s="41">
        <v>11.663793103448276</v>
      </c>
      <c r="E8" s="39">
        <v>19</v>
      </c>
      <c r="F8" s="42">
        <v>0.38873842592592595</v>
      </c>
      <c r="G8" s="39">
        <v>67</v>
      </c>
      <c r="H8" s="42">
        <v>3.1678240740740743E-2</v>
      </c>
      <c r="I8" s="39">
        <v>17</v>
      </c>
      <c r="J8" s="46">
        <v>1.0578703703703703E-2</v>
      </c>
      <c r="K8" s="43">
        <v>5.2640625000000005</v>
      </c>
      <c r="L8" s="44">
        <f t="shared" si="0"/>
        <v>4.8330671296296304</v>
      </c>
      <c r="M8" s="47">
        <v>116</v>
      </c>
      <c r="N8" s="39">
        <v>728</v>
      </c>
      <c r="O8" s="39">
        <v>625</v>
      </c>
      <c r="P8" s="41">
        <f t="shared" si="1"/>
        <v>1353</v>
      </c>
      <c r="Q8" s="46">
        <v>0.52749999999999997</v>
      </c>
      <c r="R8" s="46">
        <v>0.53248842592592593</v>
      </c>
      <c r="S8" s="41">
        <f t="shared" si="2"/>
        <v>11.663793103448276</v>
      </c>
    </row>
    <row r="9" spans="1:256">
      <c r="A9" s="45" t="s">
        <v>67</v>
      </c>
      <c r="B9" s="48">
        <v>91</v>
      </c>
      <c r="C9" s="40">
        <v>0.89916700000000005</v>
      </c>
      <c r="D9" s="41">
        <v>9.0204081632653068</v>
      </c>
      <c r="E9" s="39">
        <v>12</v>
      </c>
      <c r="F9" s="42">
        <v>0.23028935185185184</v>
      </c>
      <c r="G9" s="39">
        <v>16</v>
      </c>
      <c r="H9" s="42">
        <v>0.13998842592592592</v>
      </c>
      <c r="I9" s="39">
        <v>36</v>
      </c>
      <c r="J9" s="46">
        <v>0.23568287037037039</v>
      </c>
      <c r="K9" s="43">
        <v>3.6709143518518519</v>
      </c>
      <c r="L9" s="44">
        <f t="shared" si="0"/>
        <v>3.0649537037037038</v>
      </c>
      <c r="M9" s="47">
        <v>73.5</v>
      </c>
      <c r="N9" s="39">
        <v>298</v>
      </c>
      <c r="O9" s="39">
        <v>365</v>
      </c>
      <c r="P9" s="41">
        <f t="shared" si="1"/>
        <v>663</v>
      </c>
      <c r="Q9" s="46">
        <v>0.61828703703703702</v>
      </c>
      <c r="R9" s="46">
        <v>0.56503472222222217</v>
      </c>
      <c r="S9" s="41">
        <f t="shared" si="2"/>
        <v>9.0204081632653068</v>
      </c>
    </row>
    <row r="10" spans="1:256">
      <c r="A10" s="49" t="s">
        <v>68</v>
      </c>
      <c r="B10" s="75">
        <v>91</v>
      </c>
      <c r="C10" s="40">
        <v>0.86947399999999997</v>
      </c>
      <c r="D10" s="41">
        <v>8.8346456692913389</v>
      </c>
      <c r="E10" s="39">
        <v>16</v>
      </c>
      <c r="F10" s="42">
        <v>0.3566319444444444</v>
      </c>
      <c r="G10" s="39">
        <v>18</v>
      </c>
      <c r="H10" s="42">
        <v>0.1567476851851852</v>
      </c>
      <c r="I10" s="39">
        <v>53</v>
      </c>
      <c r="J10" s="46">
        <v>0.14103009259259258</v>
      </c>
      <c r="K10" s="43">
        <v>5.9453356481481485</v>
      </c>
      <c r="L10" s="44">
        <f t="shared" si="0"/>
        <v>5.2909259259259258</v>
      </c>
      <c r="M10" s="50">
        <v>127</v>
      </c>
      <c r="N10" s="39">
        <v>494</v>
      </c>
      <c r="O10" s="39">
        <v>628</v>
      </c>
      <c r="P10" s="41">
        <f t="shared" si="1"/>
        <v>1122</v>
      </c>
      <c r="Q10" s="46">
        <v>0.66876157407407411</v>
      </c>
      <c r="R10" s="46">
        <v>0.25853009259259258</v>
      </c>
      <c r="S10" s="41">
        <f t="shared" si="2"/>
        <v>8.8346456692913389</v>
      </c>
    </row>
    <row r="11" spans="1:256">
      <c r="A11" s="86"/>
      <c r="B11" s="87"/>
      <c r="C11" s="78"/>
      <c r="D11" s="79"/>
      <c r="E11" s="80"/>
      <c r="F11" s="81"/>
      <c r="G11" s="80"/>
      <c r="H11" s="81"/>
      <c r="I11" s="80"/>
      <c r="J11" s="82"/>
      <c r="K11" s="83"/>
      <c r="L11" s="84"/>
      <c r="M11" s="85"/>
      <c r="N11" s="80"/>
      <c r="O11" s="80"/>
      <c r="P11" s="79"/>
      <c r="Q11" s="82"/>
      <c r="R11" s="82"/>
      <c r="S11" s="79"/>
    </row>
    <row r="12" spans="1:256" ht="15">
      <c r="A12" s="298" t="s">
        <v>69</v>
      </c>
      <c r="B12" s="298"/>
      <c r="C12" s="298"/>
      <c r="D12" s="298"/>
      <c r="E12" s="298"/>
      <c r="F12" s="51"/>
      <c r="G12" s="52" t="s">
        <v>70</v>
      </c>
      <c r="H12" s="52" t="s">
        <v>71</v>
      </c>
      <c r="I12" s="52" t="s">
        <v>72</v>
      </c>
      <c r="J12" s="52" t="s">
        <v>73</v>
      </c>
    </row>
    <row r="13" spans="1:256" ht="15">
      <c r="A13" s="53" t="s">
        <v>74</v>
      </c>
      <c r="B13" s="53" t="s">
        <v>75</v>
      </c>
      <c r="C13" s="53" t="s">
        <v>76</v>
      </c>
      <c r="D13" s="53" t="s">
        <v>77</v>
      </c>
      <c r="E13" s="53" t="s">
        <v>78</v>
      </c>
      <c r="F13" s="51"/>
      <c r="G13" s="54" t="s">
        <v>27</v>
      </c>
      <c r="H13" s="54">
        <v>663</v>
      </c>
      <c r="I13" s="54">
        <v>28</v>
      </c>
      <c r="J13" s="55">
        <f>I13/H13</f>
        <v>4.2232277526395176E-2</v>
      </c>
    </row>
    <row r="14" spans="1:256">
      <c r="A14" s="32" t="s">
        <v>79</v>
      </c>
      <c r="B14" s="32">
        <v>100</v>
      </c>
      <c r="C14" s="56"/>
      <c r="D14" s="56"/>
      <c r="E14" s="55">
        <v>0.6</v>
      </c>
      <c r="F14" s="51"/>
      <c r="G14" s="54" t="s">
        <v>80</v>
      </c>
      <c r="H14" s="54">
        <v>655</v>
      </c>
      <c r="I14" s="54">
        <v>95</v>
      </c>
      <c r="J14" s="55">
        <f t="shared" ref="J14:J19" si="3">I14/H14</f>
        <v>0.14503816793893129</v>
      </c>
    </row>
    <row r="15" spans="1:256">
      <c r="A15" s="32" t="s">
        <v>81</v>
      </c>
      <c r="B15" s="32">
        <v>100</v>
      </c>
      <c r="C15" s="56"/>
      <c r="D15" s="56"/>
      <c r="E15" s="55">
        <v>0.89</v>
      </c>
      <c r="F15" s="51"/>
      <c r="G15" s="54" t="s">
        <v>28</v>
      </c>
      <c r="H15" s="54">
        <v>574</v>
      </c>
      <c r="I15" s="54">
        <v>22</v>
      </c>
      <c r="J15" s="55">
        <f t="shared" si="3"/>
        <v>3.8327526132404179E-2</v>
      </c>
    </row>
    <row r="16" spans="1:256">
      <c r="A16" s="32" t="s">
        <v>82</v>
      </c>
      <c r="B16" s="32">
        <v>100</v>
      </c>
      <c r="C16" s="56"/>
      <c r="D16" s="56"/>
      <c r="E16" s="55">
        <v>0.77</v>
      </c>
      <c r="F16" s="51"/>
      <c r="G16" s="54" t="s">
        <v>31</v>
      </c>
      <c r="H16" s="54">
        <v>1745</v>
      </c>
      <c r="I16" s="54">
        <v>272</v>
      </c>
      <c r="J16" s="55">
        <f t="shared" si="3"/>
        <v>0.15587392550143267</v>
      </c>
    </row>
    <row r="17" spans="1:10">
      <c r="A17" s="32" t="s">
        <v>83</v>
      </c>
      <c r="B17" s="32">
        <v>100</v>
      </c>
      <c r="C17" s="56"/>
      <c r="D17" s="56"/>
      <c r="E17" s="55">
        <v>0.76</v>
      </c>
      <c r="F17" s="51"/>
      <c r="G17" s="54" t="s">
        <v>30</v>
      </c>
      <c r="H17" s="54">
        <v>1529</v>
      </c>
      <c r="I17" s="54">
        <v>230</v>
      </c>
      <c r="J17" s="55">
        <f t="shared" si="3"/>
        <v>0.15042511445389142</v>
      </c>
    </row>
    <row r="18" spans="1:10">
      <c r="F18" s="51"/>
      <c r="G18" s="54" t="s">
        <v>40</v>
      </c>
      <c r="H18" s="54">
        <v>321</v>
      </c>
      <c r="I18" s="54">
        <v>17</v>
      </c>
      <c r="J18" s="55">
        <f>I18/H18</f>
        <v>5.2959501557632398E-2</v>
      </c>
    </row>
    <row r="19" spans="1:10">
      <c r="F19" s="51"/>
      <c r="G19" s="14" t="s">
        <v>84</v>
      </c>
      <c r="H19" s="54">
        <v>574</v>
      </c>
      <c r="I19" s="54">
        <v>12</v>
      </c>
      <c r="J19" s="55">
        <f t="shared" si="3"/>
        <v>2.0905923344947737E-2</v>
      </c>
    </row>
    <row r="20" spans="1:10">
      <c r="G20" s="57" t="s">
        <v>85</v>
      </c>
      <c r="H20" s="57">
        <v>3539</v>
      </c>
      <c r="I20" s="57">
        <f>SUM(I13:I19)</f>
        <v>676</v>
      </c>
      <c r="J20" s="58">
        <f>I20/H20</f>
        <v>0.19101441085052276</v>
      </c>
    </row>
  </sheetData>
  <mergeCells count="1">
    <mergeCell ref="A12: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שלי</vt:lpstr>
      <vt:lpstr>מאי</vt:lpstr>
      <vt:lpstr>שירן</vt:lpstr>
      <vt:lpstr>חנה</vt:lpstr>
      <vt:lpstr>טום </vt:lpstr>
      <vt:lpstr>אלינור</vt:lpstr>
      <vt:lpstr>דיוד</vt:lpstr>
      <vt:lpstr>מעיין</vt:lpstr>
      <vt:lpstr>.</vt:lpstr>
      <vt:lpstr>דינה </vt:lpstr>
      <vt:lpstr>עדן</vt:lpstr>
      <vt:lpstr>חלי </vt:lpstr>
      <vt:lpstr>סילבי</vt:lpstr>
      <vt:lpstr>מדדים </vt:lpstr>
    </vt:vector>
  </TitlesOfParts>
  <Company>013 Netvision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dianaco</dc:creator>
  <cp:lastModifiedBy>טל גד</cp:lastModifiedBy>
  <cp:lastPrinted>2025-03-06T08:23:41Z</cp:lastPrinted>
  <dcterms:created xsi:type="dcterms:W3CDTF">2012-08-16T08:17:25Z</dcterms:created>
  <dcterms:modified xsi:type="dcterms:W3CDTF">2026-06-01T11:01:29Z</dcterms:modified>
</cp:coreProperties>
</file>