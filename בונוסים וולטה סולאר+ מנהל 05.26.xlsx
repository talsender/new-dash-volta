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aymer\Desktop\עבודה\"/>
    </mc:Choice>
  </mc:AlternateContent>
  <xr:revisionPtr revIDLastSave="0" documentId="8_{D2D2579E-A2B7-495A-BF2F-5E2A6A923953}" xr6:coauthVersionLast="47" xr6:coauthVersionMax="47" xr10:uidLastSave="{00000000-0000-0000-0000-000000000000}"/>
  <bookViews>
    <workbookView xWindow="38280" yWindow="-120" windowWidth="29040" windowHeight="15840" xr2:uid="{79091E96-E315-45A0-925B-2921BD07391D}"/>
  </bookViews>
  <sheets>
    <sheet name="לתשלום" sheetId="1" r:id="rId1"/>
    <sheet name="מפרוט " sheetId="2" r:id="rId2"/>
    <sheet name="מנהל 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" i="2" l="1"/>
  <c r="D36" i="2"/>
  <c r="M9" i="2"/>
  <c r="L9" i="2"/>
  <c r="K9" i="2"/>
  <c r="J9" i="2"/>
  <c r="I9" i="2"/>
  <c r="H9" i="2"/>
  <c r="G9" i="2"/>
  <c r="E9" i="2"/>
  <c r="C9" i="2"/>
  <c r="B9" i="2"/>
  <c r="P8" i="2"/>
  <c r="N8" i="2"/>
  <c r="I8" i="2"/>
  <c r="E8" i="2"/>
  <c r="D8" i="2"/>
  <c r="N7" i="2"/>
  <c r="P7" i="2" s="1"/>
  <c r="I7" i="2"/>
  <c r="E7" i="2"/>
  <c r="D7" i="2"/>
  <c r="D9" i="2" s="1"/>
  <c r="N6" i="2"/>
  <c r="P6" i="2" s="1"/>
  <c r="P9" i="2" s="1"/>
  <c r="I6" i="2"/>
  <c r="E6" i="2"/>
  <c r="D6" i="2"/>
  <c r="N9" i="2" l="1"/>
  <c r="D7" i="1"/>
</calcChain>
</file>

<file path=xl/sharedStrings.xml><?xml version="1.0" encoding="utf-8"?>
<sst xmlns="http://schemas.openxmlformats.org/spreadsheetml/2006/main" count="87" uniqueCount="67">
  <si>
    <t>מנהל</t>
  </si>
  <si>
    <t>מספר עובד</t>
  </si>
  <si>
    <t>שם מלא</t>
  </si>
  <si>
    <t>בונוס</t>
  </si>
  <si>
    <t xml:space="preserve">רבקה כהן </t>
  </si>
  <si>
    <t>מדד KPI</t>
  </si>
  <si>
    <t>A</t>
  </si>
  <si>
    <t>B</t>
  </si>
  <si>
    <t>C</t>
  </si>
  <si>
    <t xml:space="preserve">בונוס </t>
  </si>
  <si>
    <t>וולטה סולר</t>
  </si>
  <si>
    <t xml:space="preserve">רותם רוס </t>
  </si>
  <si>
    <t>דיוד זיו</t>
  </si>
  <si>
    <t>אלינור אדזיאשוילי</t>
  </si>
  <si>
    <t>שם נציג</t>
  </si>
  <si>
    <t>שעות</t>
  </si>
  <si>
    <t xml:space="preserve">פגישות שתואמו </t>
  </si>
  <si>
    <t>כמות שיחות ממוחה לשעה</t>
  </si>
  <si>
    <t xml:space="preserve">עמלה לשיחות מומחה </t>
  </si>
  <si>
    <t xml:space="preserve">אחוז תעסוקה </t>
  </si>
  <si>
    <t xml:space="preserve">בונוס אחוז תעסוקה </t>
  </si>
  <si>
    <t xml:space="preserve">שיחות סרק </t>
  </si>
  <si>
    <t>אחוז סרק</t>
  </si>
  <si>
    <t xml:space="preserve">בונוס שיחות סרק </t>
  </si>
  <si>
    <t xml:space="preserve">משובים </t>
  </si>
  <si>
    <t xml:space="preserve">בונוס משובים </t>
  </si>
  <si>
    <t xml:space="preserve">עסקת פניקס </t>
  </si>
  <si>
    <t>שקל בהגעה ליעד</t>
  </si>
  <si>
    <t xml:space="preserve">תוספת מנהל </t>
  </si>
  <si>
    <t>דיויד זיו</t>
  </si>
  <si>
    <t>אלינור אדזיאשולי</t>
  </si>
  <si>
    <t>Total</t>
  </si>
  <si>
    <t>משתמש</t>
  </si>
  <si>
    <t>סה"כ שיחות</t>
  </si>
  <si>
    <t>נענו</t>
  </si>
  <si>
    <t>שיחות שלא נענו</t>
  </si>
  <si>
    <t>סה"כ שיחות יוצאות</t>
  </si>
  <si>
    <t>שיחות נכנסות</t>
  </si>
  <si>
    <t>אחוז תעסוקה נטו</t>
  </si>
  <si>
    <t>david ziv</t>
  </si>
  <si>
    <t>All Agents</t>
  </si>
  <si>
    <t xml:space="preserve">מודל עמלות - מוקד וולטה סולאר </t>
  </si>
  <si>
    <t xml:space="preserve">תיאום שיחות אקספרט </t>
  </si>
  <si>
    <t xml:space="preserve">שיחה לשעה </t>
  </si>
  <si>
    <t xml:space="preserve">0.80 לשעה </t>
  </si>
  <si>
    <t>אחוז תעסוקה</t>
  </si>
  <si>
    <t>סה"כ</t>
  </si>
  <si>
    <t xml:space="preserve">כמות פגישות  לשעה </t>
  </si>
  <si>
    <t>משובים (ממוצע)</t>
  </si>
  <si>
    <t xml:space="preserve">₪                                             -   </t>
  </si>
  <si>
    <t xml:space="preserve"> ₪                                      -   </t>
  </si>
  <si>
    <t xml:space="preserve"> ₪                                       -   </t>
  </si>
  <si>
    <t>מודל עמלות מנהלת -וולטה סולאר 01/26</t>
  </si>
  <si>
    <t>משך שיחה ממוצע</t>
  </si>
  <si>
    <t>משך ממוצע לשיחות נכנסות</t>
  </si>
  <si>
    <t>elinor Adziashvili</t>
  </si>
  <si>
    <t>tom Suraski</t>
  </si>
  <si>
    <t>טום סורסקי</t>
  </si>
  <si>
    <t>טל סנדר</t>
  </si>
  <si>
    <t>משך שיחות יוצאות</t>
  </si>
  <si>
    <t xml:space="preserve">שיחות מומחה </t>
  </si>
  <si>
    <t xml:space="preserve">הגעה ליעד צוותי </t>
  </si>
  <si>
    <t xml:space="preserve">בונוס מנהל </t>
  </si>
  <si>
    <t>תוספת 1₪ לשיחה</t>
  </si>
  <si>
    <t>500₪</t>
  </si>
  <si>
    <t>משך שיחות נכנסות</t>
  </si>
  <si>
    <t xml:space="preserve"> 202 ש"ח בונוס מנהל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</si>
</sst>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₪&quot;#,##0;[Red]\-&quot;₪&quot;#,##0"/>
    <numFmt numFmtId="165" formatCode="_-&quot;₪&quot;* #,##0.00_-;\-&quot;₪&quot;* #,##0.00_-;_-&quot;₪&quot;* &quot;-&quot;??_-;_-@_-"/>
    <numFmt numFmtId="166" formatCode="_-&quot;₪&quot;* #,##0_-;\-&quot;₪&quot;* #,##0_-;_-&quot;₪&quot;* &quot;-&quot;??_-;_-@_-"/>
    <numFmt numFmtId="167" formatCode="0.0%"/>
    <numFmt numFmtId="168" formatCode="&quot;₪&quot;#,##0"/>
    <numFmt numFmtId="169" formatCode="0.0"/>
  </numFmts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8"/>
      <name val="Arial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00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97">
    <xf numFmtId="0" fontId="0" fillId="0" borderId="0" xfId="0"/>
    <xf numFmtId="0" fontId="5" fillId="3" borderId="12" xfId="0" applyFont="1" applyFill="1" applyBorder="1" applyAlignment="1">
      <alignment horizontal="center" vertical="center" readingOrder="2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readingOrder="2"/>
    </xf>
    <xf numFmtId="0" fontId="7" fillId="6" borderId="13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readingOrder="2"/>
    </xf>
    <xf numFmtId="166" fontId="5" fillId="0" borderId="13" xfId="3" applyNumberFormat="1" applyFont="1" applyBorder="1" applyAlignment="1">
      <alignment vertical="center"/>
    </xf>
    <xf numFmtId="166" fontId="5" fillId="0" borderId="12" xfId="3" applyNumberFormat="1" applyFont="1" applyBorder="1" applyAlignment="1">
      <alignment vertical="center"/>
    </xf>
    <xf numFmtId="0" fontId="7" fillId="6" borderId="13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6" fillId="0" borderId="12" xfId="0" applyFont="1" applyBorder="1" applyAlignment="1">
      <alignment horizontal="center" vertical="center" readingOrder="2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5" borderId="12" xfId="0" applyFont="1" applyFill="1" applyBorder="1" applyAlignment="1">
      <alignment horizontal="center" vertical="center" readingOrder="2"/>
    </xf>
    <xf numFmtId="166" fontId="5" fillId="5" borderId="13" xfId="0" applyNumberFormat="1" applyFont="1" applyFill="1" applyBorder="1" applyAlignment="1">
      <alignment horizontal="center" vertical="center"/>
    </xf>
    <xf numFmtId="166" fontId="5" fillId="5" borderId="12" xfId="0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9" fontId="0" fillId="0" borderId="0" xfId="2" applyFont="1"/>
    <xf numFmtId="0" fontId="12" fillId="0" borderId="0" xfId="0" applyFont="1"/>
    <xf numFmtId="0" fontId="14" fillId="7" borderId="1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readingOrder="1"/>
    </xf>
    <xf numFmtId="164" fontId="4" fillId="0" borderId="1" xfId="0" applyNumberFormat="1" applyFont="1" applyBorder="1" applyAlignment="1">
      <alignment horizontal="center" vertical="center" readingOrder="1"/>
    </xf>
    <xf numFmtId="9" fontId="4" fillId="0" borderId="1" xfId="0" applyNumberFormat="1" applyFont="1" applyBorder="1" applyAlignment="1">
      <alignment horizontal="center" vertical="center" readingOrder="1"/>
    </xf>
    <xf numFmtId="0" fontId="15" fillId="0" borderId="1" xfId="0" applyFont="1" applyBorder="1" applyAlignment="1">
      <alignment horizontal="center" vertical="center" readingOrder="1"/>
    </xf>
    <xf numFmtId="164" fontId="15" fillId="0" borderId="1" xfId="0" applyNumberFormat="1" applyFont="1" applyBorder="1" applyAlignment="1">
      <alignment horizontal="center" vertical="center" readingOrder="1"/>
    </xf>
    <xf numFmtId="166" fontId="4" fillId="0" borderId="1" xfId="0" applyNumberFormat="1" applyFont="1" applyBorder="1" applyAlignment="1">
      <alignment horizontal="center" vertical="center" readingOrder="1"/>
    </xf>
    <xf numFmtId="0" fontId="15" fillId="3" borderId="16" xfId="0" applyFont="1" applyFill="1" applyBorder="1" applyAlignment="1">
      <alignment horizontal="center" vertical="center" readingOrder="2"/>
    </xf>
    <xf numFmtId="0" fontId="15" fillId="3" borderId="17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readingOrder="2"/>
    </xf>
    <xf numFmtId="3" fontId="4" fillId="4" borderId="1" xfId="0" applyNumberFormat="1" applyFont="1" applyFill="1" applyBorder="1" applyAlignment="1">
      <alignment horizontal="center" vertical="center"/>
    </xf>
    <xf numFmtId="4" fontId="4" fillId="4" borderId="6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readingOrder="2"/>
    </xf>
    <xf numFmtId="166" fontId="4" fillId="4" borderId="1" xfId="1" applyNumberFormat="1" applyFont="1" applyFill="1" applyBorder="1" applyAlignment="1">
      <alignment horizontal="center" vertical="center"/>
    </xf>
    <xf numFmtId="166" fontId="4" fillId="4" borderId="6" xfId="1" applyNumberFormat="1" applyFont="1" applyFill="1" applyBorder="1" applyAlignment="1">
      <alignment horizontal="center" vertical="center"/>
    </xf>
    <xf numFmtId="9" fontId="12" fillId="4" borderId="1" xfId="0" applyNumberFormat="1" applyFont="1" applyFill="1" applyBorder="1" applyAlignment="1">
      <alignment horizontal="center" vertical="center"/>
    </xf>
    <xf numFmtId="9" fontId="12" fillId="4" borderId="6" xfId="0" applyNumberFormat="1" applyFont="1" applyFill="1" applyBorder="1" applyAlignment="1">
      <alignment horizontal="center" vertical="center"/>
    </xf>
    <xf numFmtId="1" fontId="12" fillId="4" borderId="1" xfId="2" applyNumberFormat="1" applyFont="1" applyFill="1" applyBorder="1" applyAlignment="1">
      <alignment horizontal="center" vertical="center"/>
    </xf>
    <xf numFmtId="1" fontId="12" fillId="4" borderId="6" xfId="2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readingOrder="2"/>
    </xf>
    <xf numFmtId="0" fontId="4" fillId="4" borderId="6" xfId="0" applyFont="1" applyFill="1" applyBorder="1" applyAlignment="1">
      <alignment horizontal="center" vertical="center" readingOrder="2"/>
    </xf>
    <xf numFmtId="0" fontId="4" fillId="5" borderId="8" xfId="0" applyFont="1" applyFill="1" applyBorder="1" applyAlignment="1">
      <alignment horizontal="center" vertical="center" readingOrder="2"/>
    </xf>
    <xf numFmtId="166" fontId="4" fillId="5" borderId="7" xfId="0" applyNumberFormat="1" applyFont="1" applyFill="1" applyBorder="1" applyAlignment="1">
      <alignment horizontal="center" vertical="center"/>
    </xf>
    <xf numFmtId="2" fontId="4" fillId="5" borderId="9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wrapText="1"/>
    </xf>
    <xf numFmtId="21" fontId="17" fillId="0" borderId="0" xfId="0" applyNumberFormat="1" applyFont="1" applyAlignment="1">
      <alignment wrapText="1"/>
    </xf>
    <xf numFmtId="10" fontId="17" fillId="0" borderId="0" xfId="0" applyNumberFormat="1" applyFont="1" applyAlignment="1">
      <alignment wrapText="1"/>
    </xf>
    <xf numFmtId="164" fontId="12" fillId="0" borderId="0" xfId="0" applyNumberFormat="1" applyFont="1" applyAlignment="1">
      <alignment horizontal="center"/>
    </xf>
    <xf numFmtId="166" fontId="12" fillId="0" borderId="0" xfId="1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6" fillId="0" borderId="20" xfId="0" applyFont="1" applyBorder="1"/>
    <xf numFmtId="0" fontId="2" fillId="0" borderId="21" xfId="0" applyFont="1" applyBorder="1"/>
    <xf numFmtId="0" fontId="0" fillId="0" borderId="1" xfId="0" applyBorder="1" applyAlignment="1">
      <alignment vertical="center"/>
    </xf>
    <xf numFmtId="9" fontId="4" fillId="0" borderId="0" xfId="0" applyNumberFormat="1" applyFont="1" applyAlignment="1">
      <alignment horizontal="center" vertical="center" readingOrder="1"/>
    </xf>
    <xf numFmtId="168" fontId="10" fillId="0" borderId="6" xfId="0" applyNumberFormat="1" applyFont="1" applyBorder="1" applyAlignment="1">
      <alignment horizontal="center"/>
    </xf>
    <xf numFmtId="168" fontId="0" fillId="4" borderId="1" xfId="0" applyNumberFormat="1" applyFill="1" applyBorder="1" applyAlignment="1">
      <alignment horizontal="center"/>
    </xf>
    <xf numFmtId="168" fontId="2" fillId="0" borderId="22" xfId="0" applyNumberFormat="1" applyFont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6" fillId="2" borderId="15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 readingOrder="2"/>
    </xf>
    <xf numFmtId="0" fontId="8" fillId="2" borderId="15" xfId="0" applyFont="1" applyFill="1" applyBorder="1" applyAlignment="1">
      <alignment horizontal="center" vertical="center" readingOrder="2"/>
    </xf>
    <xf numFmtId="0" fontId="8" fillId="2" borderId="19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readingOrder="2"/>
    </xf>
    <xf numFmtId="0" fontId="3" fillId="3" borderId="3" xfId="0" applyFont="1" applyFill="1" applyBorder="1" applyAlignment="1">
      <alignment horizontal="center" vertical="center" readingOrder="2"/>
    </xf>
    <xf numFmtId="0" fontId="3" fillId="3" borderId="4" xfId="0" applyFont="1" applyFill="1" applyBorder="1" applyAlignment="1">
      <alignment horizontal="center" vertical="center" readingOrder="2"/>
    </xf>
    <xf numFmtId="166" fontId="18" fillId="0" borderId="1" xfId="1" applyNumberFormat="1" applyFont="1" applyBorder="1" applyAlignment="1">
      <alignment horizontal="center"/>
    </xf>
    <xf numFmtId="9" fontId="4" fillId="0" borderId="1" xfId="2" applyFont="1" applyBorder="1" applyAlignment="1">
      <alignment horizontal="center" vertical="center" readingOrder="1"/>
    </xf>
    <xf numFmtId="165" fontId="4" fillId="0" borderId="1" xfId="1" applyFont="1" applyBorder="1" applyAlignment="1">
      <alignment horizontal="center" vertical="center" readingOrder="1"/>
    </xf>
    <xf numFmtId="169" fontId="4" fillId="0" borderId="1" xfId="0" applyNumberFormat="1" applyFont="1" applyBorder="1" applyAlignment="1">
      <alignment horizontal="center" vertical="center" readingOrder="1"/>
    </xf>
    <xf numFmtId="166" fontId="4" fillId="0" borderId="1" xfId="1" applyNumberFormat="1" applyFont="1" applyBorder="1" applyAlignment="1">
      <alignment horizontal="center" vertical="center" readingOrder="1"/>
    </xf>
    <xf numFmtId="2" fontId="4" fillId="0" borderId="1" xfId="0" applyNumberFormat="1" applyFont="1" applyBorder="1" applyAlignment="1">
      <alignment horizontal="center" vertical="center" readingOrder="1"/>
    </xf>
    <xf numFmtId="167" fontId="18" fillId="0" borderId="14" xfId="0" applyNumberFormat="1" applyFont="1" applyBorder="1" applyAlignment="1">
      <alignment horizontal="center" wrapText="1"/>
    </xf>
    <xf numFmtId="166" fontId="15" fillId="0" borderId="1" xfId="1" applyNumberFormat="1" applyFont="1" applyBorder="1" applyAlignment="1">
      <alignment horizontal="center" vertical="center" readingOrder="1"/>
    </xf>
    <xf numFmtId="0" fontId="4" fillId="0" borderId="2" xfId="0" applyFont="1" applyBorder="1" applyAlignment="1">
      <alignment horizontal="center" vertical="center" readingOrder="2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6" fontId="12" fillId="0" borderId="1" xfId="1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166" fontId="12" fillId="0" borderId="7" xfId="1" applyNumberFormat="1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7" fillId="0" borderId="14" xfId="0" applyFont="1" applyBorder="1" applyAlignment="1">
      <alignment wrapText="1"/>
    </xf>
    <xf numFmtId="21" fontId="17" fillId="0" borderId="14" xfId="0" applyNumberFormat="1" applyFont="1" applyBorder="1" applyAlignment="1">
      <alignment wrapText="1"/>
    </xf>
    <xf numFmtId="9" fontId="17" fillId="0" borderId="14" xfId="0" applyNumberFormat="1" applyFont="1" applyBorder="1" applyAlignment="1">
      <alignment wrapText="1"/>
    </xf>
    <xf numFmtId="46" fontId="17" fillId="0" borderId="14" xfId="0" applyNumberFormat="1" applyFont="1" applyBorder="1" applyAlignment="1">
      <alignment wrapText="1"/>
    </xf>
    <xf numFmtId="10" fontId="17" fillId="0" borderId="14" xfId="0" applyNumberFormat="1" applyFont="1" applyBorder="1" applyAlignment="1">
      <alignment wrapText="1"/>
    </xf>
  </cellXfs>
  <cellStyles count="5">
    <cellStyle name="Currency" xfId="1" builtinId="4"/>
    <cellStyle name="Currency 2" xfId="3" xr:uid="{C3A98409-3F24-466B-943C-BF99F4537144}"/>
    <cellStyle name="Currency 3" xfId="4" xr:uid="{E5494219-CA25-4A3D-AF54-DB1FA10D2309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4D874-3B50-4318-A436-3DFEFD2EF446}">
  <dimension ref="A1:E7"/>
  <sheetViews>
    <sheetView rightToLeft="1" tabSelected="1" workbookViewId="0">
      <selection activeCell="D13" sqref="D13"/>
    </sheetView>
  </sheetViews>
  <sheetFormatPr defaultRowHeight="14.25" x14ac:dyDescent="0.2"/>
  <cols>
    <col min="1" max="1" width="10.125" customWidth="1"/>
    <col min="2" max="2" width="16" customWidth="1"/>
    <col min="3" max="3" width="13.375" bestFit="1" customWidth="1"/>
    <col min="4" max="4" width="12.625" customWidth="1"/>
    <col min="5" max="5" width="28.625" bestFit="1" customWidth="1"/>
  </cols>
  <sheetData>
    <row r="1" spans="1:5" ht="15" x14ac:dyDescent="0.2">
      <c r="A1" s="23" t="s">
        <v>0</v>
      </c>
      <c r="B1" s="18" t="s">
        <v>1</v>
      </c>
      <c r="C1" s="18" t="s">
        <v>2</v>
      </c>
      <c r="D1" s="19" t="s">
        <v>3</v>
      </c>
    </row>
    <row r="2" spans="1:5" x14ac:dyDescent="0.2">
      <c r="A2" s="20" t="s">
        <v>4</v>
      </c>
      <c r="B2" s="21">
        <v>92369</v>
      </c>
      <c r="C2" s="21" t="s">
        <v>58</v>
      </c>
      <c r="D2" s="62">
        <v>2000</v>
      </c>
    </row>
    <row r="3" spans="1:5" x14ac:dyDescent="0.2">
      <c r="A3" s="60" t="s">
        <v>58</v>
      </c>
      <c r="B3" s="22">
        <v>97085</v>
      </c>
      <c r="C3" s="22" t="s">
        <v>11</v>
      </c>
      <c r="D3" s="63">
        <v>1500</v>
      </c>
    </row>
    <row r="4" spans="1:5" x14ac:dyDescent="0.2">
      <c r="A4" s="60" t="s">
        <v>58</v>
      </c>
      <c r="B4" s="22">
        <v>96186</v>
      </c>
      <c r="C4" s="22" t="s">
        <v>12</v>
      </c>
      <c r="D4" s="63">
        <v>1600</v>
      </c>
      <c r="E4" t="s">
        <v>66</v>
      </c>
    </row>
    <row r="5" spans="1:5" x14ac:dyDescent="0.2">
      <c r="A5" s="60" t="s">
        <v>58</v>
      </c>
      <c r="B5" s="22">
        <v>98752</v>
      </c>
      <c r="C5" s="22" t="s">
        <v>13</v>
      </c>
      <c r="D5" s="63">
        <v>1430</v>
      </c>
    </row>
    <row r="6" spans="1:5" x14ac:dyDescent="0.2">
      <c r="A6" s="60" t="s">
        <v>58</v>
      </c>
      <c r="B6" s="22">
        <v>98804</v>
      </c>
      <c r="C6" s="22" t="s">
        <v>57</v>
      </c>
      <c r="D6" s="63">
        <v>1452</v>
      </c>
    </row>
    <row r="7" spans="1:5" ht="15.75" thickBot="1" x14ac:dyDescent="0.3">
      <c r="A7" s="58" t="s">
        <v>46</v>
      </c>
      <c r="B7" s="59"/>
      <c r="C7" s="59"/>
      <c r="D7" s="64">
        <f>SUM(D2:D5)</f>
        <v>6530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54301-27EA-416F-BD5B-AA6FD414E011}">
  <dimension ref="A1:P36"/>
  <sheetViews>
    <sheetView rightToLeft="1" workbookViewId="0">
      <selection activeCell="M8" sqref="M8"/>
    </sheetView>
  </sheetViews>
  <sheetFormatPr defaultColWidth="9" defaultRowHeight="14.25" x14ac:dyDescent="0.2"/>
  <cols>
    <col min="1" max="1" width="21" style="25" bestFit="1" customWidth="1"/>
    <col min="2" max="2" width="12.375" style="25" bestFit="1" customWidth="1"/>
    <col min="3" max="3" width="21.875" style="25" customWidth="1"/>
    <col min="4" max="4" width="16.625" style="25" bestFit="1" customWidth="1"/>
    <col min="5" max="5" width="21.125" style="25" bestFit="1" customWidth="1"/>
    <col min="6" max="6" width="20.125" style="25" bestFit="1" customWidth="1"/>
    <col min="7" max="7" width="19.375" style="25" bestFit="1" customWidth="1"/>
    <col min="8" max="8" width="11.625" style="25" bestFit="1" customWidth="1"/>
    <col min="9" max="9" width="9" style="25"/>
    <col min="10" max="10" width="11.375" style="25" bestFit="1" customWidth="1"/>
    <col min="11" max="11" width="9" style="25"/>
    <col min="12" max="12" width="9.875" style="25" bestFit="1" customWidth="1"/>
    <col min="13" max="13" width="16.875" style="25" bestFit="1" customWidth="1"/>
    <col min="14" max="14" width="11.25" style="25" bestFit="1" customWidth="1"/>
    <col min="15" max="16384" width="9" style="25"/>
  </cols>
  <sheetData>
    <row r="1" spans="1:16" ht="15.75" customHeight="1" x14ac:dyDescent="0.2"/>
    <row r="2" spans="1:16" ht="15" thickBot="1" x14ac:dyDescent="0.25"/>
    <row r="3" spans="1:16" ht="15.75" thickBot="1" x14ac:dyDescent="0.25">
      <c r="D3" s="26" t="s">
        <v>10</v>
      </c>
    </row>
    <row r="4" spans="1:16" ht="15" thickBot="1" x14ac:dyDescent="0.25"/>
    <row r="5" spans="1:16" x14ac:dyDescent="0.2">
      <c r="A5" s="70" t="s">
        <v>14</v>
      </c>
      <c r="B5" s="71" t="s">
        <v>15</v>
      </c>
      <c r="C5" s="71" t="s">
        <v>16</v>
      </c>
      <c r="D5" s="71" t="s">
        <v>17</v>
      </c>
      <c r="E5" s="71" t="s">
        <v>18</v>
      </c>
      <c r="F5" s="71" t="s">
        <v>19</v>
      </c>
      <c r="G5" s="71" t="s">
        <v>20</v>
      </c>
      <c r="H5" s="71" t="s">
        <v>21</v>
      </c>
      <c r="I5" s="71" t="s">
        <v>22</v>
      </c>
      <c r="J5" s="71" t="s">
        <v>23</v>
      </c>
      <c r="K5" s="71" t="s">
        <v>24</v>
      </c>
      <c r="L5" s="71" t="s">
        <v>25</v>
      </c>
      <c r="M5" s="71" t="s">
        <v>26</v>
      </c>
      <c r="N5" s="71" t="s">
        <v>27</v>
      </c>
      <c r="O5" s="71" t="s">
        <v>28</v>
      </c>
      <c r="P5" s="72" t="s">
        <v>9</v>
      </c>
    </row>
    <row r="6" spans="1:16" x14ac:dyDescent="0.2">
      <c r="A6" s="27" t="s">
        <v>29</v>
      </c>
      <c r="B6" s="27">
        <v>145</v>
      </c>
      <c r="C6" s="28">
        <v>133</v>
      </c>
      <c r="D6" s="28">
        <f>C6/B6</f>
        <v>0.91724137931034477</v>
      </c>
      <c r="E6" s="29">
        <f>C6*5</f>
        <v>665</v>
      </c>
      <c r="F6" s="30">
        <v>0.4</v>
      </c>
      <c r="G6" s="73">
        <v>300</v>
      </c>
      <c r="H6" s="28">
        <v>1</v>
      </c>
      <c r="I6" s="74">
        <f>H6/C6</f>
        <v>7.5187969924812026E-3</v>
      </c>
      <c r="J6" s="75">
        <v>150</v>
      </c>
      <c r="K6" s="76">
        <v>8.5</v>
      </c>
      <c r="L6" s="77">
        <v>150</v>
      </c>
      <c r="M6" s="77"/>
      <c r="N6" s="77">
        <f>C6*1</f>
        <v>133</v>
      </c>
      <c r="O6" s="77"/>
      <c r="P6" s="77">
        <f>N6+M6+L6+J6+G6+E6</f>
        <v>1398</v>
      </c>
    </row>
    <row r="7" spans="1:16" x14ac:dyDescent="0.2">
      <c r="A7" s="27" t="s">
        <v>30</v>
      </c>
      <c r="B7" s="27">
        <v>116</v>
      </c>
      <c r="C7" s="28">
        <v>130</v>
      </c>
      <c r="D7" s="28">
        <f t="shared" ref="D7:D8" si="0">C7/B7</f>
        <v>1.1206896551724137</v>
      </c>
      <c r="E7" s="29">
        <f t="shared" ref="E7:E8" si="1">C7*5</f>
        <v>650</v>
      </c>
      <c r="F7" s="30">
        <v>0.96</v>
      </c>
      <c r="G7" s="77">
        <v>300</v>
      </c>
      <c r="H7" s="28">
        <v>1</v>
      </c>
      <c r="I7" s="74">
        <f t="shared" ref="I7:I8" si="2">H7/C7</f>
        <v>7.6923076923076927E-3</v>
      </c>
      <c r="J7" s="75">
        <v>150</v>
      </c>
      <c r="K7" s="78">
        <v>8.57</v>
      </c>
      <c r="L7" s="77">
        <v>150</v>
      </c>
      <c r="M7" s="77">
        <v>100</v>
      </c>
      <c r="N7" s="77">
        <f t="shared" ref="N7:N8" si="3">C7*1</f>
        <v>130</v>
      </c>
      <c r="O7" s="77"/>
      <c r="P7" s="77">
        <f t="shared" ref="P7:P8" si="4">N7+M7+L7+J7+G7+E7</f>
        <v>1480</v>
      </c>
    </row>
    <row r="8" spans="1:16" x14ac:dyDescent="0.2">
      <c r="A8" s="27" t="s">
        <v>57</v>
      </c>
      <c r="B8" s="27">
        <v>113</v>
      </c>
      <c r="C8" s="28">
        <v>142</v>
      </c>
      <c r="D8" s="28">
        <f t="shared" si="0"/>
        <v>1.2566371681415929</v>
      </c>
      <c r="E8" s="29">
        <f t="shared" si="1"/>
        <v>710</v>
      </c>
      <c r="F8" s="61">
        <v>0.85</v>
      </c>
      <c r="G8" s="77">
        <v>300</v>
      </c>
      <c r="H8" s="28">
        <v>0</v>
      </c>
      <c r="I8" s="74">
        <f t="shared" si="2"/>
        <v>0</v>
      </c>
      <c r="J8" s="75">
        <v>150</v>
      </c>
      <c r="K8" s="78">
        <v>8.52</v>
      </c>
      <c r="L8" s="77">
        <v>150</v>
      </c>
      <c r="M8" s="77"/>
      <c r="N8" s="77">
        <f t="shared" si="3"/>
        <v>142</v>
      </c>
      <c r="O8" s="77"/>
      <c r="P8" s="77">
        <f t="shared" si="4"/>
        <v>1452</v>
      </c>
    </row>
    <row r="9" spans="1:16" ht="15" x14ac:dyDescent="0.2">
      <c r="A9" s="27" t="s">
        <v>31</v>
      </c>
      <c r="B9" s="31">
        <f>SUM(B6:B8)</f>
        <v>374</v>
      </c>
      <c r="C9" s="31">
        <f>SUM(C6:C8)</f>
        <v>405</v>
      </c>
      <c r="D9" s="31">
        <f>AVERAGE(D6:D8)</f>
        <v>1.0981894008747837</v>
      </c>
      <c r="E9" s="32">
        <f>SUM(E6:E8)</f>
        <v>2025</v>
      </c>
      <c r="F9" s="79">
        <v>0.73666699999999996</v>
      </c>
      <c r="G9" s="33">
        <f>SUM(G6:G8)</f>
        <v>900</v>
      </c>
      <c r="H9" s="28">
        <f>SUM(H6:H8)</f>
        <v>2</v>
      </c>
      <c r="I9" s="74">
        <f>AVERAGE(I6:I8)</f>
        <v>5.0703682282629654E-3</v>
      </c>
      <c r="J9" s="80">
        <f>J7+J6+J8</f>
        <v>450</v>
      </c>
      <c r="K9" s="76">
        <f>AVERAGE(K6:K8)</f>
        <v>8.5299999999999994</v>
      </c>
      <c r="L9" s="80">
        <f>SUM(L6:L8)</f>
        <v>450</v>
      </c>
      <c r="M9" s="80">
        <f>SUM(M6:M8)</f>
        <v>100</v>
      </c>
      <c r="N9" s="77">
        <f>SUM(N6:N8)</f>
        <v>405</v>
      </c>
      <c r="O9" s="77"/>
      <c r="P9" s="80">
        <f>SUM(P6:P8)</f>
        <v>4330</v>
      </c>
    </row>
    <row r="11" spans="1:16" ht="15" thickBot="1" x14ac:dyDescent="0.25"/>
    <row r="12" spans="1:16" x14ac:dyDescent="0.2">
      <c r="A12" s="81" t="s">
        <v>60</v>
      </c>
      <c r="B12" s="82" t="s">
        <v>19</v>
      </c>
      <c r="C12" s="82" t="s">
        <v>21</v>
      </c>
      <c r="D12" s="82" t="s">
        <v>24</v>
      </c>
      <c r="E12" s="82" t="s">
        <v>61</v>
      </c>
      <c r="F12" s="83" t="s">
        <v>62</v>
      </c>
    </row>
    <row r="13" spans="1:16" x14ac:dyDescent="0.2">
      <c r="A13" s="84">
        <v>4</v>
      </c>
      <c r="B13" s="85">
        <v>200</v>
      </c>
      <c r="C13" s="85">
        <v>100</v>
      </c>
      <c r="D13" s="85">
        <v>100</v>
      </c>
      <c r="E13" s="86" t="s">
        <v>63</v>
      </c>
      <c r="F13" s="87" t="s">
        <v>64</v>
      </c>
    </row>
    <row r="14" spans="1:16" ht="15" thickBot="1" x14ac:dyDescent="0.25">
      <c r="A14" s="88">
        <v>5</v>
      </c>
      <c r="B14" s="89">
        <v>300</v>
      </c>
      <c r="C14" s="89">
        <v>150</v>
      </c>
      <c r="D14" s="89">
        <v>150</v>
      </c>
      <c r="E14" s="90"/>
      <c r="F14" s="91">
        <v>300</v>
      </c>
    </row>
    <row r="15" spans="1:16" x14ac:dyDescent="0.2">
      <c r="A15" s="55"/>
      <c r="B15" s="56"/>
      <c r="C15" s="56"/>
      <c r="D15" s="56"/>
      <c r="E15" s="57"/>
      <c r="F15" s="57"/>
    </row>
    <row r="16" spans="1:16" x14ac:dyDescent="0.2">
      <c r="A16" s="55"/>
      <c r="B16" s="56"/>
      <c r="C16" s="56"/>
      <c r="D16" s="56"/>
      <c r="E16" s="57"/>
      <c r="F16" s="57"/>
    </row>
    <row r="18" spans="1:11" ht="25.5" x14ac:dyDescent="0.2">
      <c r="A18" s="92" t="s">
        <v>32</v>
      </c>
      <c r="B18" s="92" t="s">
        <v>33</v>
      </c>
      <c r="C18" s="92" t="s">
        <v>53</v>
      </c>
      <c r="D18" s="92" t="s">
        <v>34</v>
      </c>
      <c r="E18" s="92" t="s">
        <v>35</v>
      </c>
      <c r="F18" s="92" t="s">
        <v>36</v>
      </c>
      <c r="G18" s="92" t="s">
        <v>59</v>
      </c>
      <c r="H18" s="92" t="s">
        <v>37</v>
      </c>
      <c r="I18" s="92" t="s">
        <v>65</v>
      </c>
      <c r="J18" s="92" t="s">
        <v>54</v>
      </c>
      <c r="K18" s="92" t="s">
        <v>38</v>
      </c>
    </row>
    <row r="19" spans="1:11" x14ac:dyDescent="0.2">
      <c r="A19" s="92" t="s">
        <v>56</v>
      </c>
      <c r="B19" s="92">
        <v>659</v>
      </c>
      <c r="C19" s="93">
        <v>1.5277777777777779E-3</v>
      </c>
      <c r="D19" s="92">
        <v>347</v>
      </c>
      <c r="E19" s="92">
        <v>312</v>
      </c>
      <c r="F19" s="92">
        <v>659</v>
      </c>
      <c r="G19" s="93">
        <v>0.5340625</v>
      </c>
      <c r="H19" s="92">
        <v>0</v>
      </c>
      <c r="I19" s="93">
        <v>0</v>
      </c>
      <c r="J19" s="93">
        <v>0</v>
      </c>
      <c r="K19" s="94">
        <v>0.4</v>
      </c>
    </row>
    <row r="20" spans="1:11" x14ac:dyDescent="0.2">
      <c r="A20" s="92" t="s">
        <v>55</v>
      </c>
      <c r="B20" s="92">
        <v>872</v>
      </c>
      <c r="C20" s="93">
        <v>1.9791666666666668E-3</v>
      </c>
      <c r="D20" s="92">
        <v>463</v>
      </c>
      <c r="E20" s="92">
        <v>407</v>
      </c>
      <c r="F20" s="92">
        <v>853</v>
      </c>
      <c r="G20" s="93">
        <v>0.85895833333333338</v>
      </c>
      <c r="H20" s="92">
        <v>17</v>
      </c>
      <c r="I20" s="93">
        <v>5.8831018518518519E-2</v>
      </c>
      <c r="J20" s="93">
        <v>3.460648148148148E-3</v>
      </c>
      <c r="K20" s="94">
        <v>0.96</v>
      </c>
    </row>
    <row r="21" spans="1:11" x14ac:dyDescent="0.2">
      <c r="A21" s="92" t="s">
        <v>39</v>
      </c>
      <c r="B21" s="92">
        <v>832</v>
      </c>
      <c r="C21" s="93">
        <v>1.5740740740740741E-3</v>
      </c>
      <c r="D21" s="92">
        <v>431</v>
      </c>
      <c r="E21" s="92">
        <v>397</v>
      </c>
      <c r="F21" s="92">
        <v>809</v>
      </c>
      <c r="G21" s="93">
        <v>0.64265046296296291</v>
      </c>
      <c r="H21" s="92">
        <v>19</v>
      </c>
      <c r="I21" s="93">
        <v>3.90625E-2</v>
      </c>
      <c r="J21" s="93">
        <v>2.0486111111111113E-3</v>
      </c>
      <c r="K21" s="94">
        <v>0.85</v>
      </c>
    </row>
    <row r="22" spans="1:11" x14ac:dyDescent="0.2">
      <c r="A22" s="92" t="s">
        <v>40</v>
      </c>
      <c r="B22" s="92">
        <v>2363</v>
      </c>
      <c r="C22" s="93">
        <v>1.712962962962963E-3</v>
      </c>
      <c r="D22" s="92">
        <v>1241</v>
      </c>
      <c r="E22" s="92">
        <v>1116</v>
      </c>
      <c r="F22" s="92">
        <v>2321</v>
      </c>
      <c r="G22" s="95">
        <v>2.0356712962962962</v>
      </c>
      <c r="H22" s="92">
        <v>36</v>
      </c>
      <c r="I22" s="93">
        <v>9.7893518518518519E-2</v>
      </c>
      <c r="J22" s="93">
        <v>1.8287037037037037E-3</v>
      </c>
      <c r="K22" s="96">
        <v>0.73666699999999996</v>
      </c>
    </row>
    <row r="23" spans="1:11" x14ac:dyDescent="0.2">
      <c r="A23" s="52"/>
      <c r="B23" s="52"/>
      <c r="C23" s="53"/>
      <c r="D23" s="52"/>
      <c r="E23" s="52"/>
      <c r="F23" s="52"/>
      <c r="G23" s="52"/>
      <c r="H23" s="53"/>
      <c r="I23" s="52"/>
      <c r="J23" s="52"/>
      <c r="K23" s="54"/>
    </row>
    <row r="24" spans="1:11" ht="15" thickBot="1" x14ac:dyDescent="0.25">
      <c r="A24" s="52"/>
      <c r="B24" s="52"/>
      <c r="C24" s="53"/>
      <c r="D24" s="52"/>
      <c r="E24" s="52"/>
      <c r="F24" s="52"/>
      <c r="G24" s="52"/>
      <c r="H24" s="53"/>
      <c r="I24" s="52"/>
      <c r="J24" s="52"/>
      <c r="K24" s="54"/>
    </row>
    <row r="25" spans="1:11" ht="15" thickBot="1" x14ac:dyDescent="0.25">
      <c r="C25" s="65" t="s">
        <v>41</v>
      </c>
      <c r="D25" s="66"/>
      <c r="E25" s="66"/>
    </row>
    <row r="26" spans="1:11" ht="15" thickBot="1" x14ac:dyDescent="0.25"/>
    <row r="27" spans="1:11" ht="15" x14ac:dyDescent="0.2">
      <c r="C27" s="34" t="s">
        <v>5</v>
      </c>
      <c r="D27" s="35" t="s">
        <v>6</v>
      </c>
      <c r="E27" s="36" t="s">
        <v>7</v>
      </c>
    </row>
    <row r="28" spans="1:11" ht="15" x14ac:dyDescent="0.2">
      <c r="C28" s="37" t="s">
        <v>42</v>
      </c>
      <c r="D28" s="38" t="s">
        <v>43</v>
      </c>
      <c r="E28" s="39" t="s">
        <v>44</v>
      </c>
    </row>
    <row r="29" spans="1:11" ht="15" x14ac:dyDescent="0.2">
      <c r="C29" s="40" t="s">
        <v>3</v>
      </c>
      <c r="D29" s="41">
        <v>5</v>
      </c>
      <c r="E29" s="42">
        <v>4</v>
      </c>
    </row>
    <row r="30" spans="1:11" ht="15" x14ac:dyDescent="0.2">
      <c r="C30" s="37" t="s">
        <v>45</v>
      </c>
      <c r="D30" s="43">
        <v>0.35</v>
      </c>
      <c r="E30" s="44">
        <v>0.3</v>
      </c>
    </row>
    <row r="31" spans="1:11" ht="15" x14ac:dyDescent="0.2">
      <c r="C31" s="40" t="s">
        <v>3</v>
      </c>
      <c r="D31" s="41">
        <v>300</v>
      </c>
      <c r="E31" s="42">
        <v>200</v>
      </c>
    </row>
    <row r="32" spans="1:11" ht="15" x14ac:dyDescent="0.2">
      <c r="C32" s="37" t="s">
        <v>21</v>
      </c>
      <c r="D32" s="45">
        <v>2</v>
      </c>
      <c r="E32" s="46">
        <v>3</v>
      </c>
    </row>
    <row r="33" spans="3:5" ht="15" x14ac:dyDescent="0.2">
      <c r="C33" s="37" t="s">
        <v>3</v>
      </c>
      <c r="D33" s="41">
        <v>150</v>
      </c>
      <c r="E33" s="42">
        <v>100</v>
      </c>
    </row>
    <row r="34" spans="3:5" ht="15" x14ac:dyDescent="0.2">
      <c r="C34" s="37" t="s">
        <v>24</v>
      </c>
      <c r="D34" s="47">
        <v>85</v>
      </c>
      <c r="E34" s="48">
        <v>80</v>
      </c>
    </row>
    <row r="35" spans="3:5" ht="15" x14ac:dyDescent="0.2">
      <c r="C35" s="37" t="s">
        <v>3</v>
      </c>
      <c r="D35" s="41">
        <v>150</v>
      </c>
      <c r="E35" s="42">
        <v>100</v>
      </c>
    </row>
    <row r="36" spans="3:5" ht="18.95" customHeight="1" thickBot="1" x14ac:dyDescent="0.25">
      <c r="C36" s="49" t="s">
        <v>46</v>
      </c>
      <c r="D36" s="50">
        <f>H26+D31+D33+D35</f>
        <v>600</v>
      </c>
      <c r="E36" s="51">
        <f>H27+E31+E33+E35</f>
        <v>400</v>
      </c>
    </row>
  </sheetData>
  <mergeCells count="1">
    <mergeCell ref="C25:E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9641-97DF-4B0D-94A5-0A20F8923C99}">
  <dimension ref="B3:G22"/>
  <sheetViews>
    <sheetView rightToLeft="1" workbookViewId="0">
      <selection activeCell="C8" sqref="C8"/>
    </sheetView>
  </sheetViews>
  <sheetFormatPr defaultRowHeight="14.25" x14ac:dyDescent="0.2"/>
  <cols>
    <col min="1" max="1" width="21" bestFit="1" customWidth="1"/>
    <col min="2" max="2" width="26" customWidth="1"/>
    <col min="3" max="3" width="23.75" customWidth="1"/>
    <col min="4" max="4" width="22.375" customWidth="1"/>
    <col min="5" max="5" width="25.875" customWidth="1"/>
    <col min="12" max="12" width="10.125" bestFit="1" customWidth="1"/>
    <col min="13" max="13" width="17.375" bestFit="1" customWidth="1"/>
  </cols>
  <sheetData>
    <row r="3" spans="2:5" ht="15" thickBot="1" x14ac:dyDescent="0.25"/>
    <row r="4" spans="2:5" ht="15" thickBot="1" x14ac:dyDescent="0.25">
      <c r="B4" s="67" t="s">
        <v>52</v>
      </c>
      <c r="C4" s="68"/>
      <c r="D4" s="68"/>
      <c r="E4" s="69"/>
    </row>
    <row r="5" spans="2:5" ht="15.75" thickBot="1" x14ac:dyDescent="0.25">
      <c r="B5" s="1" t="s">
        <v>5</v>
      </c>
      <c r="C5" s="2" t="s">
        <v>6</v>
      </c>
      <c r="D5" s="2" t="s">
        <v>7</v>
      </c>
      <c r="E5" s="3" t="s">
        <v>8</v>
      </c>
    </row>
    <row r="6" spans="2:5" ht="15.75" thickBot="1" x14ac:dyDescent="0.25">
      <c r="B6" s="4" t="s">
        <v>47</v>
      </c>
      <c r="C6" s="5">
        <v>1.2</v>
      </c>
      <c r="D6" s="5">
        <v>1</v>
      </c>
      <c r="E6" s="6">
        <v>0.8</v>
      </c>
    </row>
    <row r="7" spans="2:5" ht="15.75" thickBot="1" x14ac:dyDescent="0.25">
      <c r="B7" s="7" t="s">
        <v>3</v>
      </c>
      <c r="C7" s="8">
        <v>2000</v>
      </c>
      <c r="D7" s="8">
        <v>1600</v>
      </c>
      <c r="E7" s="9">
        <v>1200</v>
      </c>
    </row>
    <row r="8" spans="2:5" ht="15.75" thickBot="1" x14ac:dyDescent="0.25">
      <c r="B8" s="4" t="s">
        <v>48</v>
      </c>
      <c r="C8" s="10">
        <v>85</v>
      </c>
      <c r="D8" s="10">
        <v>80</v>
      </c>
      <c r="E8" s="11">
        <v>75</v>
      </c>
    </row>
    <row r="9" spans="2:5" ht="15.75" thickBot="1" x14ac:dyDescent="0.25">
      <c r="B9" s="12" t="s">
        <v>3</v>
      </c>
      <c r="C9" s="13" t="s">
        <v>49</v>
      </c>
      <c r="D9" s="13" t="s">
        <v>50</v>
      </c>
      <c r="E9" s="14" t="s">
        <v>51</v>
      </c>
    </row>
    <row r="10" spans="2:5" ht="15.75" thickBot="1" x14ac:dyDescent="0.25">
      <c r="B10" s="15"/>
      <c r="C10" s="16">
        <v>2000</v>
      </c>
      <c r="D10" s="16">
        <v>1600</v>
      </c>
      <c r="E10" s="17">
        <v>1200</v>
      </c>
    </row>
    <row r="22" spans="7:7" x14ac:dyDescent="0.2">
      <c r="G22" s="24"/>
    </row>
  </sheetData>
  <mergeCells count="1">
    <mergeCell ref="B4:E4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לתשלום</vt:lpstr>
      <vt:lpstr>מפרוט </vt:lpstr>
      <vt:lpstr>מנהל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Keren Shliser</dc:creator>
  <cp:lastModifiedBy>טל גד</cp:lastModifiedBy>
  <dcterms:created xsi:type="dcterms:W3CDTF">2025-11-03T12:12:43Z</dcterms:created>
  <dcterms:modified xsi:type="dcterms:W3CDTF">2026-06-01T10:41:24Z</dcterms:modified>
</cp:coreProperties>
</file>