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avsystems-my.sharepoint.com/personal/tal_sender_gav_co_il/Documents/Desktop/וולטה/נתונים/"/>
    </mc:Choice>
  </mc:AlternateContent>
  <xr:revisionPtr revIDLastSave="0" documentId="8_{E11AB92F-AB4A-4F7A-B5E1-0ACC0E765031}" xr6:coauthVersionLast="47" xr6:coauthVersionMax="47" xr10:uidLastSave="{00000000-0000-0000-0000-000000000000}"/>
  <bookViews>
    <workbookView xWindow="-120" yWindow="-120" windowWidth="29040" windowHeight="15720" xr2:uid="{7598562D-9745-4C2D-B529-1C13104031A7}"/>
  </bookViews>
  <sheets>
    <sheet name="יוני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1" l="1"/>
  <c r="C11" i="1"/>
  <c r="B11" i="1"/>
  <c r="H10" i="1"/>
  <c r="E10" i="1"/>
  <c r="D10" i="1"/>
  <c r="H9" i="1"/>
  <c r="E9" i="1"/>
  <c r="D9" i="1"/>
  <c r="H8" i="1"/>
  <c r="E8" i="1"/>
  <c r="D8" i="1"/>
  <c r="D11" i="1" s="1"/>
  <c r="H7" i="1"/>
  <c r="H11" i="1" s="1"/>
  <c r="E7" i="1"/>
  <c r="D7" i="1"/>
  <c r="E11" i="1" l="1"/>
</calcChain>
</file>

<file path=xl/sharedStrings.xml><?xml version="1.0" encoding="utf-8"?>
<sst xmlns="http://schemas.openxmlformats.org/spreadsheetml/2006/main" count="27" uniqueCount="25">
  <si>
    <t>פגישות חודש יוני  2026</t>
  </si>
  <si>
    <t xml:space="preserve">ימי עבודה 22 </t>
  </si>
  <si>
    <t xml:space="preserve">שעות עבודה </t>
  </si>
  <si>
    <t>פגישות שתואמו</t>
  </si>
  <si>
    <t xml:space="preserve">אחוז עמידה ביעד </t>
  </si>
  <si>
    <t>כמות פגישות לשעה</t>
  </si>
  <si>
    <t>אחוז תעסוקה נטו</t>
  </si>
  <si>
    <t xml:space="preserve">שיחות סרק </t>
  </si>
  <si>
    <t xml:space="preserve">אחוז סרק </t>
  </si>
  <si>
    <t>דיוד זיו</t>
  </si>
  <si>
    <t>אלינור אדזאשוילי</t>
  </si>
  <si>
    <t>טום סרוסקי</t>
  </si>
  <si>
    <t>פרי יבדייב</t>
  </si>
  <si>
    <t>יעד צוותי</t>
  </si>
  <si>
    <t>משתמש</t>
  </si>
  <si>
    <t>סה"כ שיחות</t>
  </si>
  <si>
    <t>משך שיחה ממוצע</t>
  </si>
  <si>
    <t>נענו</t>
  </si>
  <si>
    <t>שיחות שלא נענו</t>
  </si>
  <si>
    <t>סה"כ שיחות יוצאות</t>
  </si>
  <si>
    <t>שיחות נכנסות</t>
  </si>
  <si>
    <t>tom Suraski</t>
  </si>
  <si>
    <t>elinor Adziashvili</t>
  </si>
  <si>
    <t>david ziv</t>
  </si>
  <si>
    <t>All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</si>
</sst>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 wrapText="1"/>
    </xf>
    <xf numFmtId="0" fontId="5" fillId="0" borderId="2" xfId="0" applyFont="1" applyBorder="1" applyAlignment="1">
      <alignment wrapText="1"/>
    </xf>
    <xf numFmtId="21" fontId="5" fillId="0" borderId="2" xfId="0" applyNumberFormat="1" applyFont="1" applyBorder="1" applyAlignment="1">
      <alignment wrapText="1"/>
    </xf>
    <xf numFmtId="9" fontId="5" fillId="0" borderId="2" xfId="0" applyNumberFormat="1" applyFont="1" applyBorder="1" applyAlignment="1">
      <alignment wrapText="1"/>
    </xf>
    <xf numFmtId="10" fontId="5" fillId="0" borderId="2" xfId="0" applyNumberFormat="1" applyFont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AC71-A4B5-4C69-B6FF-F4E32DB4016B}">
  <dimension ref="A3:H25"/>
  <sheetViews>
    <sheetView rightToLeft="1" tabSelected="1" workbookViewId="0">
      <selection activeCell="L3" sqref="K3:L3"/>
    </sheetView>
  </sheetViews>
  <sheetFormatPr defaultRowHeight="15" x14ac:dyDescent="0.25"/>
  <cols>
    <col min="1" max="1" width="24.5703125" bestFit="1" customWidth="1"/>
    <col min="2" max="2" width="12.28515625" customWidth="1"/>
    <col min="3" max="3" width="15" bestFit="1" customWidth="1"/>
    <col min="4" max="4" width="16.42578125" customWidth="1"/>
    <col min="5" max="5" width="18.140625" bestFit="1" customWidth="1"/>
    <col min="6" max="6" width="15.140625" bestFit="1" customWidth="1"/>
    <col min="7" max="7" width="11.28515625" bestFit="1" customWidth="1"/>
    <col min="8" max="8" width="14.28515625" bestFit="1" customWidth="1"/>
  </cols>
  <sheetData>
    <row r="3" spans="1:8" x14ac:dyDescent="0.25">
      <c r="A3" s="1" t="s">
        <v>0</v>
      </c>
    </row>
    <row r="4" spans="1:8" x14ac:dyDescent="0.25">
      <c r="A4" s="1" t="s">
        <v>1</v>
      </c>
    </row>
    <row r="6" spans="1:8" ht="15.75" x14ac:dyDescent="0.25">
      <c r="A6" s="2"/>
      <c r="B6" s="3" t="s">
        <v>2</v>
      </c>
      <c r="C6" s="3" t="s">
        <v>3</v>
      </c>
      <c r="D6" s="3" t="s">
        <v>4</v>
      </c>
      <c r="E6" s="3" t="s">
        <v>5</v>
      </c>
      <c r="F6" s="4" t="s">
        <v>6</v>
      </c>
      <c r="G6" s="3" t="s">
        <v>7</v>
      </c>
      <c r="H6" s="3" t="s">
        <v>8</v>
      </c>
    </row>
    <row r="7" spans="1:8" ht="15.75" x14ac:dyDescent="0.25">
      <c r="A7" s="3" t="s">
        <v>9</v>
      </c>
      <c r="B7" s="2">
        <v>32</v>
      </c>
      <c r="C7" s="5">
        <v>18</v>
      </c>
      <c r="D7" s="6">
        <f>C7/B7</f>
        <v>0.5625</v>
      </c>
      <c r="E7" s="7">
        <f t="shared" ref="E7:E11" si="0">C7/B7</f>
        <v>0.5625</v>
      </c>
      <c r="F7" s="8">
        <v>0.32</v>
      </c>
      <c r="G7" s="7">
        <v>0</v>
      </c>
      <c r="H7" s="6">
        <f t="shared" ref="H7:H10" si="1">G7/C7</f>
        <v>0</v>
      </c>
    </row>
    <row r="8" spans="1:8" ht="15.75" x14ac:dyDescent="0.25">
      <c r="A8" s="3" t="s">
        <v>10</v>
      </c>
      <c r="B8" s="2">
        <v>29.5</v>
      </c>
      <c r="C8" s="9">
        <v>33</v>
      </c>
      <c r="D8" s="6">
        <f t="shared" ref="D8:D10" si="2">C8/B8</f>
        <v>1.1186440677966101</v>
      </c>
      <c r="E8" s="7">
        <f t="shared" si="0"/>
        <v>1.1186440677966101</v>
      </c>
      <c r="F8" s="8">
        <v>0.36</v>
      </c>
      <c r="G8" s="7">
        <v>1</v>
      </c>
      <c r="H8" s="6">
        <f>G8/C8</f>
        <v>3.0303030303030304E-2</v>
      </c>
    </row>
    <row r="9" spans="1:8" ht="15.75" x14ac:dyDescent="0.25">
      <c r="A9" s="3" t="s">
        <v>11</v>
      </c>
      <c r="B9" s="2">
        <v>34</v>
      </c>
      <c r="C9" s="10">
        <v>32</v>
      </c>
      <c r="D9" s="6">
        <f t="shared" si="2"/>
        <v>0.94117647058823528</v>
      </c>
      <c r="E9" s="7">
        <f t="shared" si="0"/>
        <v>0.94117647058823528</v>
      </c>
      <c r="F9" s="8">
        <v>0.91</v>
      </c>
      <c r="G9" s="7">
        <v>0</v>
      </c>
      <c r="H9" s="6">
        <f t="shared" si="1"/>
        <v>0</v>
      </c>
    </row>
    <row r="10" spans="1:8" ht="15.75" x14ac:dyDescent="0.25">
      <c r="A10" s="3" t="s">
        <v>12</v>
      </c>
      <c r="B10" s="2">
        <v>23</v>
      </c>
      <c r="C10" s="9">
        <v>24</v>
      </c>
      <c r="D10" s="6">
        <f t="shared" si="2"/>
        <v>1.0434782608695652</v>
      </c>
      <c r="E10" s="7">
        <f t="shared" si="0"/>
        <v>1.0434782608695652</v>
      </c>
      <c r="F10" s="8">
        <v>1.04</v>
      </c>
      <c r="G10" s="7">
        <v>0</v>
      </c>
      <c r="H10" s="6">
        <f t="shared" si="1"/>
        <v>0</v>
      </c>
    </row>
    <row r="11" spans="1:8" ht="15.75" x14ac:dyDescent="0.25">
      <c r="A11" s="3" t="s">
        <v>13</v>
      </c>
      <c r="B11" s="7">
        <f>SUM(B7:B10)</f>
        <v>118.5</v>
      </c>
      <c r="C11" s="7">
        <f>SUM(C7:C9)</f>
        <v>83</v>
      </c>
      <c r="D11" s="6">
        <f>AVERAGE(D7:D9)</f>
        <v>0.87410684612828182</v>
      </c>
      <c r="E11" s="7">
        <f t="shared" si="0"/>
        <v>0.70042194092827004</v>
      </c>
      <c r="F11" s="11">
        <v>0.65749999999999997</v>
      </c>
      <c r="G11" s="7">
        <f>SUM(G7:G8)</f>
        <v>1</v>
      </c>
      <c r="H11" s="6">
        <f>AVERAGE(H7:H8)</f>
        <v>1.5151515151515152E-2</v>
      </c>
    </row>
    <row r="14" spans="1:8" ht="4.5" customHeight="1" x14ac:dyDescent="0.25"/>
    <row r="15" spans="1:8" hidden="1" x14ac:dyDescent="0.25"/>
    <row r="16" spans="1:8" ht="29.25" hidden="1" customHeight="1" x14ac:dyDescent="0.25"/>
    <row r="20" spans="1:8" x14ac:dyDescent="0.25">
      <c r="A20" s="12" t="s">
        <v>14</v>
      </c>
      <c r="B20" s="12" t="s">
        <v>15</v>
      </c>
      <c r="C20" s="12" t="s">
        <v>16</v>
      </c>
      <c r="D20" s="12" t="s">
        <v>17</v>
      </c>
      <c r="E20" s="12" t="s">
        <v>18</v>
      </c>
      <c r="F20" s="12" t="s">
        <v>19</v>
      </c>
      <c r="G20" s="12" t="s">
        <v>20</v>
      </c>
      <c r="H20" s="12" t="s">
        <v>6</v>
      </c>
    </row>
    <row r="21" spans="1:8" x14ac:dyDescent="0.25">
      <c r="A21" s="12" t="s">
        <v>12</v>
      </c>
      <c r="B21" s="12">
        <v>109</v>
      </c>
      <c r="C21" s="13">
        <v>2.488425925925926E-3</v>
      </c>
      <c r="D21" s="12">
        <v>71</v>
      </c>
      <c r="E21" s="12">
        <v>37</v>
      </c>
      <c r="F21" s="12">
        <v>99</v>
      </c>
      <c r="G21" s="12">
        <v>9</v>
      </c>
      <c r="H21" s="14">
        <v>0.32</v>
      </c>
    </row>
    <row r="22" spans="1:8" x14ac:dyDescent="0.25">
      <c r="A22" s="12" t="s">
        <v>21</v>
      </c>
      <c r="B22" s="12">
        <v>200</v>
      </c>
      <c r="C22" s="13">
        <v>1.6666666666666668E-3</v>
      </c>
      <c r="D22" s="12">
        <v>94</v>
      </c>
      <c r="E22" s="12">
        <v>106</v>
      </c>
      <c r="F22" s="12">
        <v>190</v>
      </c>
      <c r="G22" s="12">
        <v>10</v>
      </c>
      <c r="H22" s="14">
        <v>0.36</v>
      </c>
    </row>
    <row r="23" spans="1:8" x14ac:dyDescent="0.25">
      <c r="A23" s="12" t="s">
        <v>22</v>
      </c>
      <c r="B23" s="12">
        <v>180</v>
      </c>
      <c r="C23" s="13">
        <v>2.1990740740740742E-3</v>
      </c>
      <c r="D23" s="12">
        <v>103</v>
      </c>
      <c r="E23" s="12">
        <v>77</v>
      </c>
      <c r="F23" s="12">
        <v>177</v>
      </c>
      <c r="G23" s="12">
        <v>3</v>
      </c>
      <c r="H23" s="14">
        <v>0.91</v>
      </c>
    </row>
    <row r="24" spans="1:8" x14ac:dyDescent="0.25">
      <c r="A24" s="12" t="s">
        <v>23</v>
      </c>
      <c r="B24" s="12">
        <v>157</v>
      </c>
      <c r="C24" s="13">
        <v>1.4814814814814814E-3</v>
      </c>
      <c r="D24" s="12">
        <v>78</v>
      </c>
      <c r="E24" s="12">
        <v>78</v>
      </c>
      <c r="F24" s="12">
        <v>153</v>
      </c>
      <c r="G24" s="12">
        <v>3</v>
      </c>
      <c r="H24" s="14">
        <v>1.04</v>
      </c>
    </row>
    <row r="25" spans="1:8" x14ac:dyDescent="0.25">
      <c r="A25" s="12" t="s">
        <v>24</v>
      </c>
      <c r="B25" s="12">
        <v>646</v>
      </c>
      <c r="C25" s="13">
        <v>1.9675925925925924E-3</v>
      </c>
      <c r="D25" s="12">
        <v>346</v>
      </c>
      <c r="E25" s="12">
        <v>298</v>
      </c>
      <c r="F25" s="12">
        <v>619</v>
      </c>
      <c r="G25" s="12">
        <v>25</v>
      </c>
      <c r="H25" s="15">
        <v>0.65749999999999997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יוני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 Sender</dc:creator>
  <cp:lastModifiedBy>Tal Sender</cp:lastModifiedBy>
  <dcterms:created xsi:type="dcterms:W3CDTF">2026-06-07T08:10:04Z</dcterms:created>
  <dcterms:modified xsi:type="dcterms:W3CDTF">2026-06-07T08:14:41Z</dcterms:modified>
</cp:coreProperties>
</file>